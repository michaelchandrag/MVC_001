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0_ncr:8100000_{D5877368-E8C1-4DE4-8AD6-F806D3B6F596}" xr6:coauthVersionLast="34" xr6:coauthVersionMax="34" xr10:uidLastSave="{00000000-0000-0000-0000-000000000000}"/>
  <bookViews>
    <workbookView xWindow="0" yWindow="0" windowWidth="20460" windowHeight="7665" firstSheet="4" activeTab="5" xr2:uid="{00000000-000D-0000-FFFF-FFFF00000000}"/>
  </bookViews>
  <sheets>
    <sheet name="Pivot" sheetId="3" state="hidden" r:id="rId1"/>
    <sheet name="Data" sheetId="2" state="hidden" r:id="rId2"/>
    <sheet name="Sheet4" sheetId="6" state="hidden" r:id="rId3"/>
    <sheet name="Sheet2" sheetId="4" state="hidden" r:id="rId4"/>
    <sheet name="Sheet1" sheetId="1" r:id="rId5"/>
    <sheet name="Sheet3" sheetId="5" r:id="rId6"/>
  </sheets>
  <definedNames>
    <definedName name="_xlnm._FilterDatabase" localSheetId="1" hidden="1">Data!$A$1:$C$1623</definedName>
    <definedName name="_xlnm._FilterDatabase" localSheetId="4" hidden="1">Sheet1!$A$2:$L$47</definedName>
  </definedNames>
  <calcPr calcId="162913"/>
  <pivotCaches>
    <pivotCache cacheId="0" r:id="rId7"/>
  </pivotCaches>
</workbook>
</file>

<file path=xl/calcChain.xml><?xml version="1.0" encoding="utf-8"?>
<calcChain xmlns="http://schemas.openxmlformats.org/spreadsheetml/2006/main">
  <c r="O4" i="1" l="1"/>
  <c r="O3" i="1"/>
  <c r="L3" i="1" l="1"/>
  <c r="M3" i="1"/>
  <c r="N3" i="1"/>
  <c r="L4" i="1"/>
  <c r="M4" i="1"/>
  <c r="N4" i="1"/>
  <c r="H1" i="1"/>
</calcChain>
</file>

<file path=xl/sharedStrings.xml><?xml version="1.0" encoding="utf-8"?>
<sst xmlns="http://schemas.openxmlformats.org/spreadsheetml/2006/main" count="6252" uniqueCount="1936">
  <si>
    <t/>
  </si>
  <si>
    <t>ID01</t>
  </si>
  <si>
    <t>2020</t>
  </si>
  <si>
    <t>FA002474.01</t>
  </si>
  <si>
    <t>3040</t>
  </si>
  <si>
    <t>FA002655.01</t>
  </si>
  <si>
    <t>FA003535.03</t>
  </si>
  <si>
    <t>GOOD COMPANION KS BOX 20</t>
  </si>
  <si>
    <t>3041</t>
  </si>
  <si>
    <t>FA007812.06</t>
  </si>
  <si>
    <t>FA007812.07</t>
  </si>
  <si>
    <t>FA009370.03</t>
  </si>
  <si>
    <t>2065</t>
  </si>
  <si>
    <t>FA012795.00</t>
  </si>
  <si>
    <t>FA013954.06</t>
  </si>
  <si>
    <t>FA013954.07</t>
  </si>
  <si>
    <t>FA014058.03</t>
  </si>
  <si>
    <t>FA019555.03</t>
  </si>
  <si>
    <t>FA019555.04</t>
  </si>
  <si>
    <t>FA019556.03</t>
  </si>
  <si>
    <t>FA019556.04</t>
  </si>
  <si>
    <t>FA020282.03</t>
  </si>
  <si>
    <t>FA020282.04</t>
  </si>
  <si>
    <t>FA020283.03</t>
  </si>
  <si>
    <t>FA020283.04</t>
  </si>
  <si>
    <t>FA020779.02</t>
  </si>
  <si>
    <t>PETER JACKSON VIRGINIA KS BOX 25</t>
  </si>
  <si>
    <t>FA022436.03</t>
  </si>
  <si>
    <t>FA022437.03</t>
  </si>
  <si>
    <t>FA022711.02</t>
  </si>
  <si>
    <t>GOOD COMPANION DELUXE KS BOX 20</t>
  </si>
  <si>
    <t>FA022711.03</t>
  </si>
  <si>
    <t>FA022717.02</t>
  </si>
  <si>
    <t>BASIC REFRESHING MNT KS BOX 20</t>
  </si>
  <si>
    <t>FA022717.03</t>
  </si>
  <si>
    <t>FA022718.02</t>
  </si>
  <si>
    <t>FA022718.03</t>
  </si>
  <si>
    <t>FA022719.02</t>
  </si>
  <si>
    <t>BASIC FINE FLAVOR KS BOX 20</t>
  </si>
  <si>
    <t>FA022719.03</t>
  </si>
  <si>
    <t>FA022854.00</t>
  </si>
  <si>
    <t>FA025408.02</t>
  </si>
  <si>
    <t>MARLBORO GOLD ORIGINAL KS BOX 20</t>
  </si>
  <si>
    <t>FA025413.03</t>
  </si>
  <si>
    <t>MARLBORO GOLD ORIGINAL KS BOX 25</t>
  </si>
  <si>
    <t>FA025415.03</t>
  </si>
  <si>
    <t>L&amp;M (RED) KS BOX 20</t>
  </si>
  <si>
    <t>FA025586.03</t>
  </si>
  <si>
    <t>MARLBORO (RED UPGRADE) KS BOX 20</t>
  </si>
  <si>
    <t>MARLBORO (RED UPGRADE) KS BOX 25</t>
  </si>
  <si>
    <t>FA030173.02</t>
  </si>
  <si>
    <t>PETER JACKSON VIRGINIA KS BOX 20</t>
  </si>
  <si>
    <t>FA030173.03</t>
  </si>
  <si>
    <t>FA030174.02</t>
  </si>
  <si>
    <t>ALPINE FILTER MNT KS BOX 20</t>
  </si>
  <si>
    <t>FA030174.04</t>
  </si>
  <si>
    <t>PETER JACKSON MENTHOL MNT KS BOX 20</t>
  </si>
  <si>
    <t>FA030176.02</t>
  </si>
  <si>
    <t>LONGBEACH EXTRA MILD KS BOX 25</t>
  </si>
  <si>
    <t>FA030184.02</t>
  </si>
  <si>
    <t>FA030184.04</t>
  </si>
  <si>
    <t>FA030186.02</t>
  </si>
  <si>
    <t>FA030186.04</t>
  </si>
  <si>
    <t>FA030187.02</t>
  </si>
  <si>
    <t>FA030187.05</t>
  </si>
  <si>
    <t>FA030194.02</t>
  </si>
  <si>
    <t>L&amp;M FILTER KS BOX 20</t>
  </si>
  <si>
    <t>FA030915.02</t>
  </si>
  <si>
    <t>FA030916.02</t>
  </si>
  <si>
    <t>FA031375.10</t>
  </si>
  <si>
    <t>MARLBORO ICE BLAST MNT KS BOX 20</t>
  </si>
  <si>
    <t>MARLBORO BLACK MENTHOL MNT KS BOX 20</t>
  </si>
  <si>
    <t>NEXT MINT INTENSE MNT KS RCB 20</t>
  </si>
  <si>
    <t>L&amp;M MENTHOL CAPSULE MNT KS RCB 20</t>
  </si>
  <si>
    <t>FA035342.05</t>
  </si>
  <si>
    <t>FA035342.08</t>
  </si>
  <si>
    <t>FA035342.10</t>
  </si>
  <si>
    <t>MARLBORO RED (UPGRADE) KS BOX 20</t>
  </si>
  <si>
    <t>FA035922.21</t>
  </si>
  <si>
    <t>FA035922.22</t>
  </si>
  <si>
    <t>FA036376.01</t>
  </si>
  <si>
    <t>FA036377.01</t>
  </si>
  <si>
    <t>FA036378.01</t>
  </si>
  <si>
    <t>FA036379.01</t>
  </si>
  <si>
    <t>FA036380.01</t>
  </si>
  <si>
    <t>FA036381.01</t>
  </si>
  <si>
    <t>FA036382.01</t>
  </si>
  <si>
    <t>L&amp;M (RED CAPSULE) KS RCB 20</t>
  </si>
  <si>
    <t>FA039084.05</t>
  </si>
  <si>
    <t>FA039084.08</t>
  </si>
  <si>
    <t>FA039084.10</t>
  </si>
  <si>
    <t>FA039107.04</t>
  </si>
  <si>
    <t>FA039291.15</t>
  </si>
  <si>
    <t>FA039727.08</t>
  </si>
  <si>
    <t>FA039728.08</t>
  </si>
  <si>
    <t>FA039729.09</t>
  </si>
  <si>
    <t>MARLBORO MINT CAPSULE MNT KS BOX 20</t>
  </si>
  <si>
    <t>FA039842.04</t>
  </si>
  <si>
    <t>FA041576.09</t>
  </si>
  <si>
    <t>FA041577.09</t>
  </si>
  <si>
    <t>PETER JACKSON HYBRIDBL KS BOX 25</t>
  </si>
  <si>
    <t>FA041867.01</t>
  </si>
  <si>
    <t>MARLBORO GOLD KS BOX 20</t>
  </si>
  <si>
    <t>FA041868.01</t>
  </si>
  <si>
    <t>FA041900.07</t>
  </si>
  <si>
    <t>BOND STREET RED KS BOX 25</t>
  </si>
  <si>
    <t>FA041901.07</t>
  </si>
  <si>
    <t>BOND STREET GOLD KS BOX 25</t>
  </si>
  <si>
    <t>FA041902.07</t>
  </si>
  <si>
    <t>FA041987.03</t>
  </si>
  <si>
    <t>FA041987.04</t>
  </si>
  <si>
    <t>FA041987.07</t>
  </si>
  <si>
    <t>FA041987.09</t>
  </si>
  <si>
    <t>FA041987.10</t>
  </si>
  <si>
    <t>FA041987.11</t>
  </si>
  <si>
    <t>L&amp;M BLUE LINE KS BOX 20</t>
  </si>
  <si>
    <t>FA041988.03</t>
  </si>
  <si>
    <t>FA041988.04</t>
  </si>
  <si>
    <t>FA041988.07</t>
  </si>
  <si>
    <t>FA041988.08</t>
  </si>
  <si>
    <t>FA041988.09</t>
  </si>
  <si>
    <t>FA041989.00</t>
  </si>
  <si>
    <t>L&amp;M GREEN LINE MNT KS BOX 20</t>
  </si>
  <si>
    <t>FA041989.03</t>
  </si>
  <si>
    <t>FA041989.04</t>
  </si>
  <si>
    <t>FA041989.05</t>
  </si>
  <si>
    <t>FA041989.07</t>
  </si>
  <si>
    <t>FA041989.08</t>
  </si>
  <si>
    <t>L&amp;M EXTRA MENTHOL MNT KS BOX 20</t>
  </si>
  <si>
    <t>FA042559.03</t>
  </si>
  <si>
    <t>FA042559.04</t>
  </si>
  <si>
    <t>FA042559.05</t>
  </si>
  <si>
    <t>FA043049.02</t>
  </si>
  <si>
    <t>FA043050.02</t>
  </si>
  <si>
    <t>FA043050.03</t>
  </si>
  <si>
    <t>FA043128.00</t>
  </si>
  <si>
    <t>FA043423.03</t>
  </si>
  <si>
    <t>FA043423.04</t>
  </si>
  <si>
    <t>FA043423.06</t>
  </si>
  <si>
    <t>FA044034.00</t>
  </si>
  <si>
    <t>FA044182.06</t>
  </si>
  <si>
    <t>FA044428.06</t>
  </si>
  <si>
    <t>FA045277.07</t>
  </si>
  <si>
    <t>MARLBORO ICE BLAST MNT KS BOX 25</t>
  </si>
  <si>
    <t>FA045888.01</t>
  </si>
  <si>
    <t>FA046822.00</t>
  </si>
  <si>
    <t>NEXT SUBZERO MNT KS RCB 20</t>
  </si>
  <si>
    <t>FA046823.00</t>
  </si>
  <si>
    <t>NEXT MENTHOL MNT KS RCB 20</t>
  </si>
  <si>
    <t>FA046824.00</t>
  </si>
  <si>
    <t>NEXT BLUE LABEL KS RCB 20</t>
  </si>
  <si>
    <t>FA046825.00</t>
  </si>
  <si>
    <t>NEXT ORIGINAL KS RCB 20</t>
  </si>
  <si>
    <t>FA046861.03</t>
  </si>
  <si>
    <t>FA046861.04</t>
  </si>
  <si>
    <t>FA046861.06</t>
  </si>
  <si>
    <t>FA046861.07</t>
  </si>
  <si>
    <t>FA046861.08</t>
  </si>
  <si>
    <t>FA046861.09</t>
  </si>
  <si>
    <t>FA046861.11</t>
  </si>
  <si>
    <t>NEXT FINE KS RCB 20</t>
  </si>
  <si>
    <t>FA046862.04</t>
  </si>
  <si>
    <t>FA046862.06</t>
  </si>
  <si>
    <t>FA046862.07</t>
  </si>
  <si>
    <t>FA046862.08</t>
  </si>
  <si>
    <t>FA046862.09</t>
  </si>
  <si>
    <t>FA046862.12</t>
  </si>
  <si>
    <t>NEXT FINE MNT KS RCB 20</t>
  </si>
  <si>
    <t>FA046863.03</t>
  </si>
  <si>
    <t>FA046863.04</t>
  </si>
  <si>
    <t>FA046863.06</t>
  </si>
  <si>
    <t>FA046863.07</t>
  </si>
  <si>
    <t>FA046863.09</t>
  </si>
  <si>
    <t>NEXT MNT KS RCB 20</t>
  </si>
  <si>
    <t>FA046864.05</t>
  </si>
  <si>
    <t>FA046864.07</t>
  </si>
  <si>
    <t>FA046864.08</t>
  </si>
  <si>
    <t>FA046864.10</t>
  </si>
  <si>
    <t>NEXT MINT TWIST MNT KS RCB 20</t>
  </si>
  <si>
    <t>FA046866.02</t>
  </si>
  <si>
    <t>FA046866.03</t>
  </si>
  <si>
    <t>FA046866.04</t>
  </si>
  <si>
    <t>FA046866.06</t>
  </si>
  <si>
    <t>FA046866.07</t>
  </si>
  <si>
    <t>FA046866.08</t>
  </si>
  <si>
    <t>FA046934.00</t>
  </si>
  <si>
    <t>L&amp;M RED KS BOX 25</t>
  </si>
  <si>
    <t>FA046934.04</t>
  </si>
  <si>
    <t>FA046934.05</t>
  </si>
  <si>
    <t>FA046935.00</t>
  </si>
  <si>
    <t>L&amp;M BLUE KS BOX 25</t>
  </si>
  <si>
    <t>FA046935.04</t>
  </si>
  <si>
    <t>FA046935.05</t>
  </si>
  <si>
    <t>FA048208.02</t>
  </si>
  <si>
    <t>FA048435.01</t>
  </si>
  <si>
    <t>FA048435.02</t>
  </si>
  <si>
    <t>FA048436.00</t>
  </si>
  <si>
    <t>FA048847.00</t>
  </si>
  <si>
    <t>FA049111.03</t>
  </si>
  <si>
    <t>FA049401.00</t>
  </si>
  <si>
    <t>FA050065.00</t>
  </si>
  <si>
    <t>FA050107.00</t>
  </si>
  <si>
    <t>L&amp;M CHARCOAL FILTER KS RCB 20</t>
  </si>
  <si>
    <t>FA050107.01</t>
  </si>
  <si>
    <t>FA050107.03</t>
  </si>
  <si>
    <t>FA050107.05</t>
  </si>
  <si>
    <t>FA050110.01</t>
  </si>
  <si>
    <t>FA050229.06</t>
  </si>
  <si>
    <t>FA050230.06</t>
  </si>
  <si>
    <t>FA050231.06</t>
  </si>
  <si>
    <t>L&amp;M THREAD FILTER (MINT) KS RCB 20</t>
  </si>
  <si>
    <t>FA050292.01</t>
  </si>
  <si>
    <t>FA050292.03</t>
  </si>
  <si>
    <t>FA050428.03</t>
  </si>
  <si>
    <t>FA050428.04</t>
  </si>
  <si>
    <t>FA050603.07</t>
  </si>
  <si>
    <t>BOND STREET BLUE KS BOX 40</t>
  </si>
  <si>
    <t>FA050604.07</t>
  </si>
  <si>
    <t>BOND STREET GOLD KS BOX 40</t>
  </si>
  <si>
    <t>FA050606.07</t>
  </si>
  <si>
    <t>BOND STREET RED KS BOX 40</t>
  </si>
  <si>
    <t>FA050748.00</t>
  </si>
  <si>
    <t>FA050749.00</t>
  </si>
  <si>
    <t>PETER JACKSON ORIGINAL FLAVOUR KS BOX 20</t>
  </si>
  <si>
    <t>FA050812.00</t>
  </si>
  <si>
    <t>MARLBORO ADVANCE HYBRID KS RCB 20</t>
  </si>
  <si>
    <t>FA050812.02</t>
  </si>
  <si>
    <t>FA050854.00</t>
  </si>
  <si>
    <t>MARLBORO (RED FWD) KS SOF 20</t>
  </si>
  <si>
    <t>MARLBORO (RED FWD) KS BOX 20</t>
  </si>
  <si>
    <t>FA050855.01</t>
  </si>
  <si>
    <t>FA050869.00</t>
  </si>
  <si>
    <t>MARLBORO DOUBU2.0 MNT KS BOX 20</t>
  </si>
  <si>
    <t>FA050869.01</t>
  </si>
  <si>
    <t>FA050869.02</t>
  </si>
  <si>
    <t>MARLBORO MENTHOL (2.0) MNT KS BOX 20</t>
  </si>
  <si>
    <t>FA050871.08</t>
  </si>
  <si>
    <t>FA050871.09</t>
  </si>
  <si>
    <t>FA050871.10</t>
  </si>
  <si>
    <t>FA050871.11</t>
  </si>
  <si>
    <t>MARLBORO BLMEN2.0 MNT KS BOX 20</t>
  </si>
  <si>
    <t>MARLBORO ICE BLAST (2.0) MNT KS BOX 20</t>
  </si>
  <si>
    <t>FA050904.00</t>
  </si>
  <si>
    <t>FA050904.02</t>
  </si>
  <si>
    <t>FA050904.03</t>
  </si>
  <si>
    <t>FA050905.00</t>
  </si>
  <si>
    <t>FA050905.02</t>
  </si>
  <si>
    <t>FA050906.00</t>
  </si>
  <si>
    <t>FA050906.02</t>
  </si>
  <si>
    <t>FA050972.00</t>
  </si>
  <si>
    <t>FA050975.00</t>
  </si>
  <si>
    <t>FA051014.01</t>
  </si>
  <si>
    <t>FA051014.05</t>
  </si>
  <si>
    <t>FA051015.00</t>
  </si>
  <si>
    <t>MARLBORO (RED FWD) KS BOS 20</t>
  </si>
  <si>
    <t>FA051015.01</t>
  </si>
  <si>
    <t>FA051015.02</t>
  </si>
  <si>
    <t>FA051019.11</t>
  </si>
  <si>
    <t>FA051019.12</t>
  </si>
  <si>
    <t>FA051019.13</t>
  </si>
  <si>
    <t>FA051019.15</t>
  </si>
  <si>
    <t>FA051019.16</t>
  </si>
  <si>
    <t>FA051019.17</t>
  </si>
  <si>
    <t>FA051019.18</t>
  </si>
  <si>
    <t>FA051020.06</t>
  </si>
  <si>
    <t>FA051020.07</t>
  </si>
  <si>
    <t>FA051020.08</t>
  </si>
  <si>
    <t>FA051020.09</t>
  </si>
  <si>
    <t>FA051020.10</t>
  </si>
  <si>
    <t>FA051021.03</t>
  </si>
  <si>
    <t>MARLBORO GOLD (2.0 ORIGINAL) KS BOS 20</t>
  </si>
  <si>
    <t>FA051021.04</t>
  </si>
  <si>
    <t>FA051021.05</t>
  </si>
  <si>
    <t>FA051021.06</t>
  </si>
  <si>
    <t>FA051021.07</t>
  </si>
  <si>
    <t>FA051022.00</t>
  </si>
  <si>
    <t>FA051022.02</t>
  </si>
  <si>
    <t>FA051091.00</t>
  </si>
  <si>
    <t>FA051120.00</t>
  </si>
  <si>
    <t>FA051121.00</t>
  </si>
  <si>
    <t>FA051122.00</t>
  </si>
  <si>
    <t>L&amp;M FF KS BOX 20</t>
  </si>
  <si>
    <t>FA051521.00</t>
  </si>
  <si>
    <t>MARLBORO MENTHOL (2.0) MNT KS BOS 20</t>
  </si>
  <si>
    <t>FA051521.01</t>
  </si>
  <si>
    <t>FA051597.00</t>
  </si>
  <si>
    <t>FA052294.00</t>
  </si>
  <si>
    <t>MARLBORO WMENT2.0 MNT KS BOS 20</t>
  </si>
  <si>
    <t>FA052294.02</t>
  </si>
  <si>
    <t>FA052294.03</t>
  </si>
  <si>
    <t>FA052294.04</t>
  </si>
  <si>
    <t>FA052300.00</t>
  </si>
  <si>
    <t>FA052300.01</t>
  </si>
  <si>
    <t>FA052301.01</t>
  </si>
  <si>
    <t>FA052305.01</t>
  </si>
  <si>
    <t>FA052305.02</t>
  </si>
  <si>
    <t>FA052570.06</t>
  </si>
  <si>
    <t>FA052570.07</t>
  </si>
  <si>
    <t>FA052570.08</t>
  </si>
  <si>
    <t>FA052572.07</t>
  </si>
  <si>
    <t>FA052572.08</t>
  </si>
  <si>
    <t>FA052572.09</t>
  </si>
  <si>
    <t>MARLBORO MENLI2.0 MNT KS BOX 20</t>
  </si>
  <si>
    <t>FA052575.06</t>
  </si>
  <si>
    <t>FA052575.07</t>
  </si>
  <si>
    <t>FA052575.08</t>
  </si>
  <si>
    <t>FA052576.05</t>
  </si>
  <si>
    <t>FA052576.06</t>
  </si>
  <si>
    <t>FA052576.07</t>
  </si>
  <si>
    <t>FA052576.09</t>
  </si>
  <si>
    <t>FA052792.02</t>
  </si>
  <si>
    <t>CHESTERFIELD BLUE KS RCB 20</t>
  </si>
  <si>
    <t>FA052792.04</t>
  </si>
  <si>
    <t>FA052792.06</t>
  </si>
  <si>
    <t>FA052793.02</t>
  </si>
  <si>
    <t>CHESTERFIELD MENTHOL MNT KS RCB 20</t>
  </si>
  <si>
    <t>FA052793.04</t>
  </si>
  <si>
    <t>FA052793.06</t>
  </si>
  <si>
    <t>FA053054.00</t>
  </si>
  <si>
    <t>FA053054.02</t>
  </si>
  <si>
    <t>FA053056.00</t>
  </si>
  <si>
    <t>CHESTERFIELD RED KS RCB 20</t>
  </si>
  <si>
    <t>FA053060.03</t>
  </si>
  <si>
    <t>FA053061.04</t>
  </si>
  <si>
    <t>MARLBORO GOLD (2.0 ORIGINAL) KS BOX 20</t>
  </si>
  <si>
    <t>FA053162.06</t>
  </si>
  <si>
    <t>FA053162.08</t>
  </si>
  <si>
    <t>FA053613.06</t>
  </si>
  <si>
    <t>FA053613.07</t>
  </si>
  <si>
    <t>FA053613.08</t>
  </si>
  <si>
    <t>FA053613.09</t>
  </si>
  <si>
    <t>FA053925.01</t>
  </si>
  <si>
    <t>LONGBEACH EXTRA MILD KS BOX 20</t>
  </si>
  <si>
    <t>FA053925.02</t>
  </si>
  <si>
    <t>LONGBEACH FILTER KS BOX 20</t>
  </si>
  <si>
    <t>FA053926.02</t>
  </si>
  <si>
    <t>FA053926.03</t>
  </si>
  <si>
    <t>FA053985.07</t>
  </si>
  <si>
    <t>FA054780.03</t>
  </si>
  <si>
    <t>FA054781.03</t>
  </si>
  <si>
    <t>FA054782.01</t>
  </si>
  <si>
    <t>FA054783.01</t>
  </si>
  <si>
    <t>FA054966.00</t>
  </si>
  <si>
    <t>CHESTERFIELD MINT BURST MNT KS RCB 20</t>
  </si>
  <si>
    <t>FA054966.01</t>
  </si>
  <si>
    <t>FA055170.04</t>
  </si>
  <si>
    <t>MARLBORO GOLD (2.0 ORIGINAL) KS BOX 25</t>
  </si>
  <si>
    <t>FA055171.04</t>
  </si>
  <si>
    <t>FA055172.05</t>
  </si>
  <si>
    <t>FA055175.04</t>
  </si>
  <si>
    <t>FA055531.02</t>
  </si>
  <si>
    <t>FA055624.00</t>
  </si>
  <si>
    <t>FA055624.03</t>
  </si>
  <si>
    <t>FA055624.05</t>
  </si>
  <si>
    <t>FA055624.06</t>
  </si>
  <si>
    <t>FA055625.00</t>
  </si>
  <si>
    <t>MARLBORO BLMEN2.0 MNT KS BOS 20</t>
  </si>
  <si>
    <t>FA055625.09</t>
  </si>
  <si>
    <t>FA055626.00</t>
  </si>
  <si>
    <t>MARLBORO ICE BLAST (2.0) MNT KS BOS 20</t>
  </si>
  <si>
    <t>FA055864.05</t>
  </si>
  <si>
    <t>FA055864.06</t>
  </si>
  <si>
    <t>FA055864.07</t>
  </si>
  <si>
    <t>FA055864.08</t>
  </si>
  <si>
    <t>FA055866.00</t>
  </si>
  <si>
    <t>L&amp;M RED CORE KS RCB 20</t>
  </si>
  <si>
    <t>FA055867.00</t>
  </si>
  <si>
    <t>FA055867.01</t>
  </si>
  <si>
    <t>L&amp;M RED LABEL (B) KS BOX 20</t>
  </si>
  <si>
    <t>L&amp;M BLUE LABEL (B) KS BOX 20</t>
  </si>
  <si>
    <t>FA056130.07</t>
  </si>
  <si>
    <t>FA056130.08</t>
  </si>
  <si>
    <t>FA056130.09</t>
  </si>
  <si>
    <t>FA056130.10</t>
  </si>
  <si>
    <t>FA056290.00</t>
  </si>
  <si>
    <t>FA056294.01</t>
  </si>
  <si>
    <t>FA056523.00</t>
  </si>
  <si>
    <t>FA056524.00</t>
  </si>
  <si>
    <t>MARLBORO GOLD (2.0 ORIGINAL) KS SOF 20</t>
  </si>
  <si>
    <t>FA056525.05</t>
  </si>
  <si>
    <t>FA056526.05</t>
  </si>
  <si>
    <t>LARK BLUE KS RCB 20</t>
  </si>
  <si>
    <t>FA056564.01</t>
  </si>
  <si>
    <t>FA056564.03</t>
  </si>
  <si>
    <t>FA056564.05</t>
  </si>
  <si>
    <t>FA056648.01</t>
  </si>
  <si>
    <t>FA056649.00</t>
  </si>
  <si>
    <t>FA056678.01</t>
  </si>
  <si>
    <t>FA056678.03</t>
  </si>
  <si>
    <t>FA056678.05</t>
  </si>
  <si>
    <t>FA056684.00</t>
  </si>
  <si>
    <t>MARLBORO (RED FWD) KS TIN 20</t>
  </si>
  <si>
    <t>FA057005.01</t>
  </si>
  <si>
    <t>FA057035.00</t>
  </si>
  <si>
    <t>CHESTERFIELD RED (3.0 WC) KS BOX 20</t>
  </si>
  <si>
    <t>FA057035.02</t>
  </si>
  <si>
    <t>FA057036.00</t>
  </si>
  <si>
    <t>CHESTERFIELD BLUE (3.0 WC) KS BOX 20</t>
  </si>
  <si>
    <t>FA057036.02</t>
  </si>
  <si>
    <t>FA057036.04</t>
  </si>
  <si>
    <t>FA057593.02</t>
  </si>
  <si>
    <t>FA057794.00</t>
  </si>
  <si>
    <t>MARLBORO ICE MINT (2.0) MNT KS BOS 20</t>
  </si>
  <si>
    <t>FA057794.01</t>
  </si>
  <si>
    <t>FA057794.02</t>
  </si>
  <si>
    <t>FA057795.00</t>
  </si>
  <si>
    <t>FA057795.01</t>
  </si>
  <si>
    <t>FA057795.03</t>
  </si>
  <si>
    <t>FA057796.00</t>
  </si>
  <si>
    <t>FA057796.01</t>
  </si>
  <si>
    <t>FA057797.00</t>
  </si>
  <si>
    <t>MARLBORO DOUBU2.0 MNT KS BOS 20</t>
  </si>
  <si>
    <t>FA057797.01</t>
  </si>
  <si>
    <t>FA057797.03</t>
  </si>
  <si>
    <t>FA057909.00</t>
  </si>
  <si>
    <t>FA057909.02</t>
  </si>
  <si>
    <t>FA057909.03</t>
  </si>
  <si>
    <t>FA057909.04</t>
  </si>
  <si>
    <t>FA057909.05</t>
  </si>
  <si>
    <t>FA057987.01</t>
  </si>
  <si>
    <t>L&amp;M MENTHOL CAPSULE MNT KS BOS 20</t>
  </si>
  <si>
    <t>FA057988.01</t>
  </si>
  <si>
    <t>L&amp;M (RED CAPSULE) KS BOS 20</t>
  </si>
  <si>
    <t>FA057988.02</t>
  </si>
  <si>
    <t>FA057990.01</t>
  </si>
  <si>
    <t>L&amp;M CHARCOAL FILTER KS BOS 20</t>
  </si>
  <si>
    <t>FA058186.02</t>
  </si>
  <si>
    <t>CHOICE BOLD KS BOX 20</t>
  </si>
  <si>
    <t>FA058186.03</t>
  </si>
  <si>
    <t>FA058186.04</t>
  </si>
  <si>
    <t>FA058189.02</t>
  </si>
  <si>
    <t>CHOICE CLASSIC (BLUE) KS BOX 20</t>
  </si>
  <si>
    <t>FA058189.04</t>
  </si>
  <si>
    <t>FA058305.00</t>
  </si>
  <si>
    <t>FA058332.00</t>
  </si>
  <si>
    <t>CHESTERFIELD RED KS BOX 23</t>
  </si>
  <si>
    <t>FA058332.02</t>
  </si>
  <si>
    <t>FA058333.00</t>
  </si>
  <si>
    <t>CHESTERFIELD BLUE KS BOX 23</t>
  </si>
  <si>
    <t>FA058333.02</t>
  </si>
  <si>
    <t>FA058334.00</t>
  </si>
  <si>
    <t>CHESTERFIELD MENTHOL X MNT KS BOX 23</t>
  </si>
  <si>
    <t>FA058334.01</t>
  </si>
  <si>
    <t>FA058355.00</t>
  </si>
  <si>
    <t>MARLBORO ADVANCE SILVER (2.0) KS BOS 20</t>
  </si>
  <si>
    <t>FA058355.01</t>
  </si>
  <si>
    <t>FA058355.02</t>
  </si>
  <si>
    <t>FA058451.00</t>
  </si>
  <si>
    <t>MARLBORO ADVANCE (2.0 ORIG) KS BOS 20</t>
  </si>
  <si>
    <t>FA058451.02</t>
  </si>
  <si>
    <t>FA058451.05</t>
  </si>
  <si>
    <t>FA058451.06</t>
  </si>
  <si>
    <t>FA058451.08</t>
  </si>
  <si>
    <t>FA058479.00</t>
  </si>
  <si>
    <t>FA058542.01</t>
  </si>
  <si>
    <t>FA058543.01</t>
  </si>
  <si>
    <t>FA058544.00</t>
  </si>
  <si>
    <t>FA058545.00</t>
  </si>
  <si>
    <t>FA058598.00</t>
  </si>
  <si>
    <t>CHESTERFIELD CAPSPURP MNT KS RCB 20</t>
  </si>
  <si>
    <t>FA058598.01</t>
  </si>
  <si>
    <t>FA058598.02</t>
  </si>
  <si>
    <t>FA058598.04</t>
  </si>
  <si>
    <t>FA058599.00</t>
  </si>
  <si>
    <t>FA058599.01</t>
  </si>
  <si>
    <t>FA058681.01</t>
  </si>
  <si>
    <t>FA058681.02</t>
  </si>
  <si>
    <t>FA058682.01</t>
  </si>
  <si>
    <t>FA058682.02</t>
  </si>
  <si>
    <t>FA058683.01</t>
  </si>
  <si>
    <t>FA058683.02</t>
  </si>
  <si>
    <t>FA058684.01</t>
  </si>
  <si>
    <t>FA058684.02</t>
  </si>
  <si>
    <t>FA058687.00</t>
  </si>
  <si>
    <t>FA058688.00</t>
  </si>
  <si>
    <t>FA058688.02</t>
  </si>
  <si>
    <t>FA058727.00</t>
  </si>
  <si>
    <t>MARLBORO FLAVOR MIX (FWD) KS BOS 20</t>
  </si>
  <si>
    <t>FA058727.02</t>
  </si>
  <si>
    <t>FA058728.00</t>
  </si>
  <si>
    <t>FA058728.01</t>
  </si>
  <si>
    <t>FA058730.00</t>
  </si>
  <si>
    <t>FA058730.01</t>
  </si>
  <si>
    <t>FA058730.02</t>
  </si>
  <si>
    <t>FA058731.00</t>
  </si>
  <si>
    <t>FA058731.01</t>
  </si>
  <si>
    <t>FA058731.02</t>
  </si>
  <si>
    <t>FA058732.00</t>
  </si>
  <si>
    <t>MARLBORO REFINEDM MNT KS BOS 20</t>
  </si>
  <si>
    <t>FA058732.01</t>
  </si>
  <si>
    <t>FA058732.02</t>
  </si>
  <si>
    <t>FA058733.00</t>
  </si>
  <si>
    <t>FA058733.02</t>
  </si>
  <si>
    <t>FA058774.03</t>
  </si>
  <si>
    <t>FA059070.01</t>
  </si>
  <si>
    <t>FA059211.03</t>
  </si>
  <si>
    <t>FA059212.04</t>
  </si>
  <si>
    <t>FA059258.00</t>
  </si>
  <si>
    <t>FA059292.00</t>
  </si>
  <si>
    <t>FA059292.01</t>
  </si>
  <si>
    <t>FA059293.00</t>
  </si>
  <si>
    <t>FA059293.01</t>
  </si>
  <si>
    <t>FA059296.00</t>
  </si>
  <si>
    <t>FA059297.00</t>
  </si>
  <si>
    <t>FA059490.03</t>
  </si>
  <si>
    <t>FA059492.03</t>
  </si>
  <si>
    <t>FA059493.03</t>
  </si>
  <si>
    <t>FA059494.03</t>
  </si>
  <si>
    <t>FA059496.03</t>
  </si>
  <si>
    <t>FA059497.03</t>
  </si>
  <si>
    <t>FA059498.03</t>
  </si>
  <si>
    <t>LONGBEACH ORIGINAL YELLOW FRM KS BOX 40</t>
  </si>
  <si>
    <t>FA059499.03</t>
  </si>
  <si>
    <t>FA059501.03</t>
  </si>
  <si>
    <t>LONGBEACH RICH BLUE FRM KS BOX 40</t>
  </si>
  <si>
    <t>FA059502.03</t>
  </si>
  <si>
    <t>LONGBEACH SELECT WHITE FRM KS BOX 40</t>
  </si>
  <si>
    <t>FA059534.00</t>
  </si>
  <si>
    <t>FA059535.00</t>
  </si>
  <si>
    <t>FA059537.00</t>
  </si>
  <si>
    <t>FA059538.01</t>
  </si>
  <si>
    <t>FA059540.02</t>
  </si>
  <si>
    <t>FA059541.02</t>
  </si>
  <si>
    <t>FA059542.01</t>
  </si>
  <si>
    <t>FA059543.01</t>
  </si>
  <si>
    <t>FA059544.00</t>
  </si>
  <si>
    <t>FA059545.00</t>
  </si>
  <si>
    <t>FA059613.00</t>
  </si>
  <si>
    <t>FA059614.02</t>
  </si>
  <si>
    <t>FA059619.00</t>
  </si>
  <si>
    <t>FA059620.00</t>
  </si>
  <si>
    <t>FA059621.02</t>
  </si>
  <si>
    <t>FA059622.00</t>
  </si>
  <si>
    <t>FA059623.00</t>
  </si>
  <si>
    <t>FA059624.01</t>
  </si>
  <si>
    <t>MARLBORO CRISP MINT (2.0) MNT KS BOS 20</t>
  </si>
  <si>
    <t>FA059673.03</t>
  </si>
  <si>
    <t>LONGBEACH FILTER RED FRM KS BOX 40</t>
  </si>
  <si>
    <t>FA059714.00</t>
  </si>
  <si>
    <t>FA059726.00</t>
  </si>
  <si>
    <t>FA059862.01</t>
  </si>
  <si>
    <t>FA060645.01</t>
  </si>
  <si>
    <t>MARLBORO BLACK MENTHOL MNT KS BOS 20</t>
  </si>
  <si>
    <t>FA060655.02</t>
  </si>
  <si>
    <t>MARLBORO GOLD (2.5) KS BOS 20</t>
  </si>
  <si>
    <t>FA061116.03</t>
  </si>
  <si>
    <t>FA061116.04</t>
  </si>
  <si>
    <t>FA061117.03</t>
  </si>
  <si>
    <t>FA061117.05</t>
  </si>
  <si>
    <t>FA061118.03</t>
  </si>
  <si>
    <t>FA061118.04</t>
  </si>
  <si>
    <t>FA061118.07</t>
  </si>
  <si>
    <t>FA061163.00</t>
  </si>
  <si>
    <t>FA061183.01</t>
  </si>
  <si>
    <t>FA061214.01</t>
  </si>
  <si>
    <t>FA061520.03</t>
  </si>
  <si>
    <t>FA061660.00</t>
  </si>
  <si>
    <t>FA061660.01</t>
  </si>
  <si>
    <t>FA061781.00</t>
  </si>
  <si>
    <t>FA061904.02</t>
  </si>
  <si>
    <t>FA061999.00</t>
  </si>
  <si>
    <t>MARLBORO PURPLE BURST MNT KS BOX 20</t>
  </si>
  <si>
    <t>MARLBORO AMBER BURST MNT KS BOX 20</t>
  </si>
  <si>
    <t>FA062000.01</t>
  </si>
  <si>
    <t>FA062001.00</t>
  </si>
  <si>
    <t>MARLBORO PURPLE BURST MNT KS BOS 20</t>
  </si>
  <si>
    <t>FA062001.01</t>
  </si>
  <si>
    <t>FA062001.02</t>
  </si>
  <si>
    <t>MARLBORO AMBER BURST MNT KS BOS 20</t>
  </si>
  <si>
    <t>FA062028.00</t>
  </si>
  <si>
    <t>FA062029.00</t>
  </si>
  <si>
    <t>FA062045.00</t>
  </si>
  <si>
    <t>FA062046.00</t>
  </si>
  <si>
    <t>FA062057.00</t>
  </si>
  <si>
    <t>FA062058.00</t>
  </si>
  <si>
    <t>L&amp;M FAST FORWARD PURPLE MNT KS RCB 20</t>
  </si>
  <si>
    <t>FA062176.00</t>
  </si>
  <si>
    <t>FA062178.00</t>
  </si>
  <si>
    <t>FA062178.01</t>
  </si>
  <si>
    <t>FA062178.02</t>
  </si>
  <si>
    <t>FA062178.03</t>
  </si>
  <si>
    <t>FA062192.00</t>
  </si>
  <si>
    <t>FA062192.01</t>
  </si>
  <si>
    <t>FA062193.00</t>
  </si>
  <si>
    <t>FA062193.01</t>
  </si>
  <si>
    <t>FA062205.00</t>
  </si>
  <si>
    <t>FA062206.00</t>
  </si>
  <si>
    <t>FA062320.00</t>
  </si>
  <si>
    <t>FA062320.01</t>
  </si>
  <si>
    <t>FA062321.00</t>
  </si>
  <si>
    <t>FA062322.00</t>
  </si>
  <si>
    <t>FA062322.01</t>
  </si>
  <si>
    <t>FA062322.02</t>
  </si>
  <si>
    <t>FA062323.00</t>
  </si>
  <si>
    <t>FA062323.01</t>
  </si>
  <si>
    <t>FA062323.02</t>
  </si>
  <si>
    <t>FA062323.03</t>
  </si>
  <si>
    <t>FA062323.04</t>
  </si>
  <si>
    <t>FA062323.05</t>
  </si>
  <si>
    <t>FA062325.00</t>
  </si>
  <si>
    <t>FA062325.01</t>
  </si>
  <si>
    <t>FA062326.00</t>
  </si>
  <si>
    <t>FA062326.01</t>
  </si>
  <si>
    <t>FA062326.02</t>
  </si>
  <si>
    <t>FA062327.00</t>
  </si>
  <si>
    <t>FA062327.01</t>
  </si>
  <si>
    <t>FA062328.00</t>
  </si>
  <si>
    <t>FA062332.00</t>
  </si>
  <si>
    <t>FA062409.00</t>
  </si>
  <si>
    <t>FA062410.00</t>
  </si>
  <si>
    <t>FA062415.00</t>
  </si>
  <si>
    <t>FA062416.00</t>
  </si>
  <si>
    <t>FA062490.01</t>
  </si>
  <si>
    <t>FA062490.02</t>
  </si>
  <si>
    <t>FA062490.03</t>
  </si>
  <si>
    <t>FA062490.04</t>
  </si>
  <si>
    <t>FA062497.00</t>
  </si>
  <si>
    <t>FA062497.01</t>
  </si>
  <si>
    <t>FA062497.02</t>
  </si>
  <si>
    <t>FA062611.01</t>
  </si>
  <si>
    <t>FA062702.00</t>
  </si>
  <si>
    <t>FA062925.00</t>
  </si>
  <si>
    <t>FA063159.00</t>
  </si>
  <si>
    <t>FA063159.01</t>
  </si>
  <si>
    <t>FA063160.00</t>
  </si>
  <si>
    <t>FA063160.01</t>
  </si>
  <si>
    <t>MARLBORO GOLD (2.5) KS RCB 20</t>
  </si>
  <si>
    <t>FA063259.01</t>
  </si>
  <si>
    <t>FA063259.02</t>
  </si>
  <si>
    <t>FA063339.05</t>
  </si>
  <si>
    <t>LARK SILVER. KS RCB 20</t>
  </si>
  <si>
    <t>FA063351.00</t>
  </si>
  <si>
    <t>FA063351.01</t>
  </si>
  <si>
    <t>FA063351.02</t>
  </si>
  <si>
    <t>FA063465.00</t>
  </si>
  <si>
    <t>CHOICE BOLD KS BOX 25</t>
  </si>
  <si>
    <t>FA063465.02</t>
  </si>
  <si>
    <t>FA063466.00</t>
  </si>
  <si>
    <t>FA063466.02</t>
  </si>
  <si>
    <t>FA063467.00</t>
  </si>
  <si>
    <t>CHOICE BLONDE KS BOX 25</t>
  </si>
  <si>
    <t>FA063467.01</t>
  </si>
  <si>
    <t>FA063467.02</t>
  </si>
  <si>
    <t>FA063670.00</t>
  </si>
  <si>
    <t>FA063671.00</t>
  </si>
  <si>
    <t>FA063706.00</t>
  </si>
  <si>
    <t>NEXT AMBER TWIST MNT KS RCB 20</t>
  </si>
  <si>
    <t>FA063714.00</t>
  </si>
  <si>
    <t>FA063715.00</t>
  </si>
  <si>
    <t>FA063741.00</t>
  </si>
  <si>
    <t>MARLBORO DOUBLE BLACK MNT KS BOS 20</t>
  </si>
  <si>
    <t>FA063741.01</t>
  </si>
  <si>
    <t>FA063750.00</t>
  </si>
  <si>
    <t>FA063765.00</t>
  </si>
  <si>
    <t>FA063766.00</t>
  </si>
  <si>
    <t>FA063766.01</t>
  </si>
  <si>
    <t>FA063766.02</t>
  </si>
  <si>
    <t>FA063766.03</t>
  </si>
  <si>
    <t>FA063766.04</t>
  </si>
  <si>
    <t>FA063766.05</t>
  </si>
  <si>
    <t>FA063766.07</t>
  </si>
  <si>
    <t>FA063887.00</t>
  </si>
  <si>
    <t>MARLBORO DOUBLE BLACK MNT KS BOX 20</t>
  </si>
  <si>
    <t>FA063900.00</t>
  </si>
  <si>
    <t>CHESTERFIELD RED (CROWN 3.0) KS BOX 20</t>
  </si>
  <si>
    <t>FA063901.00</t>
  </si>
  <si>
    <t>CHESTERFIELD BLUE (CROWN 3.0) KS BOX 20</t>
  </si>
  <si>
    <t>FA063902.00</t>
  </si>
  <si>
    <t>CHESTERFIELD GREENCRO MNT KS BOX 20</t>
  </si>
  <si>
    <t>FA063973.00</t>
  </si>
  <si>
    <t>FA063974.00</t>
  </si>
  <si>
    <t>FA064008.01</t>
  </si>
  <si>
    <t>FA064230.00</t>
  </si>
  <si>
    <t>FA064497.00</t>
  </si>
  <si>
    <t>FA064600.00</t>
  </si>
  <si>
    <t>FA064602.00</t>
  </si>
  <si>
    <t>FA064603.00</t>
  </si>
  <si>
    <t>MARLBORO SILVER (2.5) KS BOS 20</t>
  </si>
  <si>
    <t>FA064610.00</t>
  </si>
  <si>
    <t>FA064622.01</t>
  </si>
  <si>
    <t>FA064686.00</t>
  </si>
  <si>
    <t>MARLBORO GOLD (2.0 ORIGINAL) KS TIN 20</t>
  </si>
  <si>
    <t>FA064904.00</t>
  </si>
  <si>
    <t>L&amp;M FAST FORWARD PURPLE MNT KS BOX 20</t>
  </si>
  <si>
    <t>FA064904.01</t>
  </si>
  <si>
    <t>FA065026.00</t>
  </si>
  <si>
    <t>FA065027.00</t>
  </si>
  <si>
    <t>FA065029.00</t>
  </si>
  <si>
    <t>L&amp;M RED LABEL (4.0) KS RCB 20</t>
  </si>
  <si>
    <t>FA065031.00</t>
  </si>
  <si>
    <t>MARLBORO GOLD (2.5) KS BOX 20</t>
  </si>
  <si>
    <t>FA065153.00</t>
  </si>
  <si>
    <t>CHESTERFIELD FILTERSR KS RCB 20</t>
  </si>
  <si>
    <t>FA065154.00</t>
  </si>
  <si>
    <t>CHESTERFIELD FILTERSB KS RCB 20</t>
  </si>
  <si>
    <t>FA065156.00</t>
  </si>
  <si>
    <t>CHESTERFIELD MENTHOL GREEN MNT KS RCB 20</t>
  </si>
  <si>
    <t>FA065157.00</t>
  </si>
  <si>
    <t>FA065358.00</t>
  </si>
  <si>
    <t>CHESTERFIELD PURPLE CAPS 5 MNT KS RCB 20</t>
  </si>
  <si>
    <t>FA065358.01</t>
  </si>
  <si>
    <t>FA065358.03</t>
  </si>
  <si>
    <t>FA065360.00</t>
  </si>
  <si>
    <t>FA065360.01</t>
  </si>
  <si>
    <t>FA065362.00</t>
  </si>
  <si>
    <t>FA065362.01</t>
  </si>
  <si>
    <t>FA065365.00</t>
  </si>
  <si>
    <t>FA065449.00</t>
  </si>
  <si>
    <t>MARLBORO RED 25 KS BOX 20</t>
  </si>
  <si>
    <t>FA065452.00</t>
  </si>
  <si>
    <t>FA065454.00</t>
  </si>
  <si>
    <t>MARLBORO PURPLE BURST 5 MNT KS BOX 20</t>
  </si>
  <si>
    <t>FA065456.00</t>
  </si>
  <si>
    <t>MARLBORO PURPLE BURST 5 MNT KS BOS 20</t>
  </si>
  <si>
    <t>FA065458.00</t>
  </si>
  <si>
    <t>MARLBORO AMBER BURST 5 MNT KS BOX 20</t>
  </si>
  <si>
    <t>FA065459.00</t>
  </si>
  <si>
    <t>FA065461.00</t>
  </si>
  <si>
    <t>FA065601.02</t>
  </si>
  <si>
    <t>FA065682.01</t>
  </si>
  <si>
    <t>FA065683.01</t>
  </si>
  <si>
    <t>FA065685.01</t>
  </si>
  <si>
    <t>FA065686.01</t>
  </si>
  <si>
    <t>FA065687.01</t>
  </si>
  <si>
    <t>FA065699.01</t>
  </si>
  <si>
    <t>FA065700.01</t>
  </si>
  <si>
    <t>FA065701.01</t>
  </si>
  <si>
    <t>FA065702.01</t>
  </si>
  <si>
    <t>FA065703.01</t>
  </si>
  <si>
    <t>FA065955.01</t>
  </si>
  <si>
    <t>FA065956.01</t>
  </si>
  <si>
    <t>FA065966.01</t>
  </si>
  <si>
    <t>FA065967.01</t>
  </si>
  <si>
    <t>FA066045.00</t>
  </si>
  <si>
    <t>PJHYB 2XTREMEF MNT KS BOX 25</t>
  </si>
  <si>
    <t>FA066105.00</t>
  </si>
  <si>
    <t>FA066106.00</t>
  </si>
  <si>
    <t>MARLBORO RED 25 KS BOX 25</t>
  </si>
  <si>
    <t>FA066107.00</t>
  </si>
  <si>
    <t>FA066108.00</t>
  </si>
  <si>
    <t>FA066283.02</t>
  </si>
  <si>
    <t>ALPINE FILTER MENTHOL FRM MNT KS BOX 25</t>
  </si>
  <si>
    <t>FA066284.02</t>
  </si>
  <si>
    <t>ALPINE ORIMENFR MNT KS BOX 25</t>
  </si>
  <si>
    <t>FA066285.02</t>
  </si>
  <si>
    <t>ALPINE FINE MENTHOL FRM MNT KS BOX 25</t>
  </si>
  <si>
    <t>FA066286.02</t>
  </si>
  <si>
    <t>ALPINE SUPREME MENTHOL FRM MNT KS BOX 25</t>
  </si>
  <si>
    <t>FA066639.01</t>
  </si>
  <si>
    <t>FA066640.01</t>
  </si>
  <si>
    <t>FA066652.00</t>
  </si>
  <si>
    <t>FA066652.01</t>
  </si>
  <si>
    <t>FA066652.02</t>
  </si>
  <si>
    <t>FA066652.03</t>
  </si>
  <si>
    <t>FA066652.04</t>
  </si>
  <si>
    <t>FA066653.00</t>
  </si>
  <si>
    <t>FA066653.01</t>
  </si>
  <si>
    <t>FA066653.02</t>
  </si>
  <si>
    <t>FA066653.03</t>
  </si>
  <si>
    <t>FA066653.04</t>
  </si>
  <si>
    <t>FA066654.00</t>
  </si>
  <si>
    <t>FA066654.01</t>
  </si>
  <si>
    <t>FA066654.02</t>
  </si>
  <si>
    <t>FA066654.04</t>
  </si>
  <si>
    <t>FA066706.00</t>
  </si>
  <si>
    <t>FA066707.00</t>
  </si>
  <si>
    <t>FA067170.00</t>
  </si>
  <si>
    <t>MARLBORO RED 2.5 KS BOX 20</t>
  </si>
  <si>
    <t>FA067171.00</t>
  </si>
  <si>
    <t>FA067176.00</t>
  </si>
  <si>
    <t>FA067177.00</t>
  </si>
  <si>
    <t>FA067191.00</t>
  </si>
  <si>
    <t>PETER JACKSON HYBRIDSI MNT KS BOX 20</t>
  </si>
  <si>
    <t>FA067191.01</t>
  </si>
  <si>
    <t>FA067328.00</t>
  </si>
  <si>
    <t>FA067346.00</t>
  </si>
  <si>
    <t>L&amp;M RED LINE KS BOS 20</t>
  </si>
  <si>
    <t>FA067346.01</t>
  </si>
  <si>
    <t>FA067346.02</t>
  </si>
  <si>
    <t>FA067346.03</t>
  </si>
  <si>
    <t>FA067347.00</t>
  </si>
  <si>
    <t>FA067347.01</t>
  </si>
  <si>
    <t>FA067347.02</t>
  </si>
  <si>
    <t>FA067347.03</t>
  </si>
  <si>
    <t>FA067348.00</t>
  </si>
  <si>
    <t>L&amp;M GREEN LINE MNT KS BOS 20</t>
  </si>
  <si>
    <t>FA067348.01</t>
  </si>
  <si>
    <t>FA067348.02</t>
  </si>
  <si>
    <t>FA067348.03</t>
  </si>
  <si>
    <t>FA067350.00</t>
  </si>
  <si>
    <t>L&amp;M FAST FORWARD MNT KS BOS 20</t>
  </si>
  <si>
    <t>FA067350.01</t>
  </si>
  <si>
    <t>FA067350.02</t>
  </si>
  <si>
    <t>FA067350.03</t>
  </si>
  <si>
    <t>FA067351.00</t>
  </si>
  <si>
    <t>L&amp;M FAST FORWARD PURPLE MNT KS BOS 20</t>
  </si>
  <si>
    <t>FA067351.01</t>
  </si>
  <si>
    <t>FA067351.02</t>
  </si>
  <si>
    <t>FA067351.03</t>
  </si>
  <si>
    <t>FA067358.00</t>
  </si>
  <si>
    <t>FA067359.00</t>
  </si>
  <si>
    <t>MARLBORO GOLD (3.0 ORIGINAL) KS BOS 20</t>
  </si>
  <si>
    <t>FA067382.00</t>
  </si>
  <si>
    <t>FA067382.01</t>
  </si>
  <si>
    <t>FA067382.02</t>
  </si>
  <si>
    <t>FA067382.03</t>
  </si>
  <si>
    <t>FA067437.00</t>
  </si>
  <si>
    <t>FA067439.02</t>
  </si>
  <si>
    <t>FA067439.03</t>
  </si>
  <si>
    <t>FA067442.00</t>
  </si>
  <si>
    <t>L&amp;M CHILL MNT KS BOS 20</t>
  </si>
  <si>
    <t>FA067442.02</t>
  </si>
  <si>
    <t>FA067442.03</t>
  </si>
  <si>
    <t>FA067495.00</t>
  </si>
  <si>
    <t>FA067589.00</t>
  </si>
  <si>
    <t>MARLBORO DOUBLBL2 MNT KS BOX 20</t>
  </si>
  <si>
    <t>FA067632.00</t>
  </si>
  <si>
    <t>CHESTERFIELD FILTERSR KS BOS 20</t>
  </si>
  <si>
    <t>FA067634.00</t>
  </si>
  <si>
    <t>CHESTERFIELD FILTERSB KS BOS 20</t>
  </si>
  <si>
    <t>FA067635.00</t>
  </si>
  <si>
    <t>CHESTERFIELD MENTHOL GREEN MNT KS BOS 20</t>
  </si>
  <si>
    <t>FA067722.00</t>
  </si>
  <si>
    <t>MARLBORO ICE BLAST MEGA MNT KS BOS 20</t>
  </si>
  <si>
    <t>FA067722.01</t>
  </si>
  <si>
    <t>FA067759.00</t>
  </si>
  <si>
    <t>FA067764.00</t>
  </si>
  <si>
    <t>BOND STREET ROYAL KS BOX 20</t>
  </si>
  <si>
    <t>FA067820.00</t>
  </si>
  <si>
    <t>FA067820.01</t>
  </si>
  <si>
    <t>FA067821.00</t>
  </si>
  <si>
    <t>FA067821.01</t>
  </si>
  <si>
    <t>FA067822.00</t>
  </si>
  <si>
    <t>FA067822.01</t>
  </si>
  <si>
    <t>FA067824.00</t>
  </si>
  <si>
    <t>FA067824.01</t>
  </si>
  <si>
    <t>FA067825.00</t>
  </si>
  <si>
    <t>FA067825.01</t>
  </si>
  <si>
    <t>FA067826.00</t>
  </si>
  <si>
    <t>FA067826.01</t>
  </si>
  <si>
    <t>FA067842.00</t>
  </si>
  <si>
    <t>FA067843.00</t>
  </si>
  <si>
    <t>FA068007.00</t>
  </si>
  <si>
    <t>MARLBORO DOUBUR25 MNT KS BOS 20</t>
  </si>
  <si>
    <t>FA068015.00</t>
  </si>
  <si>
    <t>FA068028.00</t>
  </si>
  <si>
    <t>FA068075.00</t>
  </si>
  <si>
    <t>FA068130.00</t>
  </si>
  <si>
    <t>FA068230.00</t>
  </si>
  <si>
    <t>MARLBORO ADVANCE SILVER (3.0) KS BOS 20</t>
  </si>
  <si>
    <t>FA068230.01</t>
  </si>
  <si>
    <t>FA068231.00</t>
  </si>
  <si>
    <t>MARLBORO ADVANCE BLUE (3.0) KS BOS 20</t>
  </si>
  <si>
    <t>FA068231.01</t>
  </si>
  <si>
    <t>FA068246.00</t>
  </si>
  <si>
    <t>FA068279.01</t>
  </si>
  <si>
    <t>FA068532.00</t>
  </si>
  <si>
    <t>MARLBORO MEGICEB2 MNT KS BOS 20</t>
  </si>
  <si>
    <t>FA068543.00</t>
  </si>
  <si>
    <t>FA068543.01</t>
  </si>
  <si>
    <t>FA068544.00</t>
  </si>
  <si>
    <t>FA068544.01</t>
  </si>
  <si>
    <t>FA068545.00</t>
  </si>
  <si>
    <t>FA068545.01</t>
  </si>
  <si>
    <t>FA068546.00</t>
  </si>
  <si>
    <t>FA068546.01</t>
  </si>
  <si>
    <t>FA068552.00</t>
  </si>
  <si>
    <t>FA068554.00</t>
  </si>
  <si>
    <t>CHESTERFIELD FILTER (BLUE 4.0) KS BOS 20</t>
  </si>
  <si>
    <t>FA068555.00</t>
  </si>
  <si>
    <t>CHESTERFIELD MENSTD4 MNT KS BOS 20</t>
  </si>
  <si>
    <t>FA068559.00</t>
  </si>
  <si>
    <t>FA068560.00</t>
  </si>
  <si>
    <t>FA068561.00</t>
  </si>
  <si>
    <t>FA068562.00</t>
  </si>
  <si>
    <t>FA068573.00</t>
  </si>
  <si>
    <t>PHILIP MORRIS CAPSULE MNT KS BOX 20</t>
  </si>
  <si>
    <t>FA068585.02</t>
  </si>
  <si>
    <t>PETER JACKSON ORIBLFRM KS BOX 40</t>
  </si>
  <si>
    <t>FA068586.02</t>
  </si>
  <si>
    <t>PETER JACKSON RICH GOLD FRM KS BOX 40</t>
  </si>
  <si>
    <t>FA068715.00</t>
  </si>
  <si>
    <t>MARLBORO GOLD (3.0 ORIGINAL) KS BOX 20</t>
  </si>
  <si>
    <t>FA068887.01</t>
  </si>
  <si>
    <t>FA068900.00</t>
  </si>
  <si>
    <t>FA068902.01</t>
  </si>
  <si>
    <t>FA068903.01</t>
  </si>
  <si>
    <t>FA068911.02</t>
  </si>
  <si>
    <t>FA068937.00</t>
  </si>
  <si>
    <t>L&amp;M DOUBLE FORWARD PURPLE MNT KS RCB 20</t>
  </si>
  <si>
    <t>FA069055.00</t>
  </si>
  <si>
    <t>FA069058.00</t>
  </si>
  <si>
    <t>FA069059.00</t>
  </si>
  <si>
    <t>FA069062.00</t>
  </si>
  <si>
    <t>FA069076.01</t>
  </si>
  <si>
    <t>FA069110.01</t>
  </si>
  <si>
    <t>FA069111.01</t>
  </si>
  <si>
    <t>FA069113.01</t>
  </si>
  <si>
    <t>FA069176.00</t>
  </si>
  <si>
    <t>FA069177.00</t>
  </si>
  <si>
    <t>FA069208.00</t>
  </si>
  <si>
    <t>MARLBORO BLUEFIRM KS BOX 25</t>
  </si>
  <si>
    <t>FA069250.00</t>
  </si>
  <si>
    <t>FA069278.00</t>
  </si>
  <si>
    <t>FA069279.00</t>
  </si>
  <si>
    <t>FA069280.00</t>
  </si>
  <si>
    <t>FA069281.00</t>
  </si>
  <si>
    <t>FA069282.00</t>
  </si>
  <si>
    <t>FA069369.00</t>
  </si>
  <si>
    <t>FA069369.01</t>
  </si>
  <si>
    <t>FA069370.00</t>
  </si>
  <si>
    <t>FA069384.00</t>
  </si>
  <si>
    <t>FA069385.00</t>
  </si>
  <si>
    <t>FA069407.00</t>
  </si>
  <si>
    <t>FA069409.00</t>
  </si>
  <si>
    <t>FA069661.00</t>
  </si>
  <si>
    <t>FA069662.00</t>
  </si>
  <si>
    <t>FA069700.00</t>
  </si>
  <si>
    <t>FA069705.00</t>
  </si>
  <si>
    <t>FA069835.00</t>
  </si>
  <si>
    <t>Exception</t>
  </si>
  <si>
    <t>Material</t>
  </si>
  <si>
    <t>Plant</t>
  </si>
  <si>
    <t>Storage Location</t>
  </si>
  <si>
    <t>Material Description</t>
  </si>
  <si>
    <t>Base Unit of Measure</t>
  </si>
  <si>
    <t>Unrestricted</t>
  </si>
  <si>
    <t>In Quality Insp.</t>
  </si>
  <si>
    <t>Blocked</t>
  </si>
  <si>
    <t>Market</t>
  </si>
  <si>
    <t>FA Code</t>
  </si>
  <si>
    <t>Description</t>
  </si>
  <si>
    <t>HONG KONG</t>
  </si>
  <si>
    <t>MARLBORO GOLD (2.0 ORIGINAL) KS BOS 20  (POLY)</t>
  </si>
  <si>
    <t>MARLBORO ADVANCE SILVER (2.0) KS BOS 20 (POLY)</t>
  </si>
  <si>
    <t>MARLBORO DOUBU2.0 MNT KS BOS KS BOS 20 (POLY)</t>
  </si>
  <si>
    <t>MARLBORO FLAVOR MIX (FWD) KS BOS 20 (POLY)</t>
  </si>
  <si>
    <t>MARLBORO WMENT2.0 MNT KS BOS 20 (POLY)</t>
  </si>
  <si>
    <t>MARLBORO REFINEDM MNT KS BOS 20 (POLY)</t>
  </si>
  <si>
    <t>MARLBORO BLMEN2.0 MNT KS BOS 20 (POLY)</t>
  </si>
  <si>
    <t>MARLBORO CRISP MINT (2.0) MNT KS BOS 20 (POLY)</t>
  </si>
  <si>
    <t>MARLBORO PURPLE BURST MNT KS BOS 20 (POLY)</t>
  </si>
  <si>
    <t>FA065457.00</t>
  </si>
  <si>
    <t xml:space="preserve">MARLBORO AMBER BURST 5 MNT KS BOS 20 </t>
  </si>
  <si>
    <t>MARLBORO DOUBLE BLACK MNT KS BOS 20 (POLY)</t>
  </si>
  <si>
    <t>FA065460.00</t>
  </si>
  <si>
    <t>MARLBORO AMBER BURST MNT KS BOS 20 (POLY)</t>
  </si>
  <si>
    <t>MALAYSIA</t>
  </si>
  <si>
    <t>MARLBORO GOLD ORIGINAL KS BOS 20</t>
  </si>
  <si>
    <t>MARLBORO GOLD ORIGINAL KS BOS 20 + Printed Poly</t>
  </si>
  <si>
    <t>FA058335.00</t>
  </si>
  <si>
    <t>MARLBORO PREMIUM BLACK KS BOS 20</t>
  </si>
  <si>
    <t>MARLBORO BLMEN2.0 MNT KS BOS 20 + Printed Poly</t>
  </si>
  <si>
    <t>MARLBORO ICE BLAST (2.0) MNT KS BOS 20 + Printed Poly</t>
  </si>
  <si>
    <t>FA061141.00</t>
  </si>
  <si>
    <t>MARLBORO GOLD ADVANCE 2.0 KS BOS 20  </t>
  </si>
  <si>
    <t>MARLBORO DOUBU2.0 MNT KS BOS 20 + Printed Poly</t>
  </si>
  <si>
    <t>FA062177.00</t>
  </si>
  <si>
    <t>MARLBORO GOLD ADVANCE 2.0 KS BOS 20 + Printed Poly</t>
  </si>
  <si>
    <t>FA062203.00</t>
  </si>
  <si>
    <t>Amber Burst BOS format, new DTP + Printed Poly</t>
  </si>
  <si>
    <t>FA062204.00</t>
  </si>
  <si>
    <t>Purple Burst BOS format, new DTP + Printed Poly</t>
  </si>
  <si>
    <t>Amber Burst BOS format, new DTP</t>
  </si>
  <si>
    <t>Purple Burst BOS format, new DTP</t>
  </si>
  <si>
    <t>MARLBORO ICE BLAST (2.0) MNT KS BOS 20 (LEP)</t>
  </si>
  <si>
    <t>FA055625.03</t>
  </si>
  <si>
    <t>MARLBORO BLMEN2.0 MNT KS BOS 20 + new DTP</t>
  </si>
  <si>
    <t>FA055626.03</t>
  </si>
  <si>
    <t>MARLBORO ICE BLAST (2.0) MNT KS BOS 20 + new DTP</t>
  </si>
  <si>
    <t>SINGAPORE</t>
  </si>
  <si>
    <t>MARLBORO MENTHOL (2.0) MNT KS BOS 20 - AUTOSEAL with Printed Poly</t>
  </si>
  <si>
    <t>MARLBORO MENTHOL (2.0) MNT KS BOS 20 - AUTOSEAL PERMANENT</t>
  </si>
  <si>
    <t>MARLBORO WHITE MENTHOL (2.0) MNT KS BOS 20 - AUTOSEAL with Printed Poly</t>
  </si>
  <si>
    <t>MARLBORO WHITE MENTHOL (2.0) MNT KS BOS 20 - AUTOSEAL PERMANENT</t>
  </si>
  <si>
    <t>MARLBORO GOLD - CORE - 2.0 - AUTOSEAL with Printed OPP</t>
  </si>
  <si>
    <t>MARLBORO GOLD - CORE - 2.0 (KS BOS 20; GOLD 2.0 AUTOSEAL) PERMANENT</t>
  </si>
  <si>
    <t>MARLBORO ICE MINT (2.0) MNT KS BOS 20 - SMART SEAL WITH PRINTED POLY</t>
  </si>
  <si>
    <t>MARLBORO ICE MINT (2.0) MNT KS BOS 20 - SMART SEAL PERMANENT</t>
  </si>
  <si>
    <t>MARLBORO ICE BLAST (2.0) MNT KS BOS 20 - SMART SEAL with printed poly</t>
  </si>
  <si>
    <t>MARLBORO BLACK MENTHOL (2.0) KS BOS 20 - SMART SEAL WITH PRINTED POLY</t>
  </si>
  <si>
    <t>MARLBORO BLACK MENTHOL (2.0) KS BOS 20 - SMART SEAL PERMANENT</t>
  </si>
  <si>
    <t>MARLBORO DOUBLE BURST (2.0) MNT KS BOS 20 - SMART SEAL with printed poly</t>
  </si>
  <si>
    <t>MARLBORO DOUBLE BURST (2.0) MNT KS BOS 20 - SMART SEAL PERMANENT</t>
  </si>
  <si>
    <t>MARLBORO ADVANCE SILVER KS BOS (SILVER 2.0 AUTOSEAL) with Printed Poly</t>
  </si>
  <si>
    <t>MARLBORO ADVANCE SILVER KS BOS (SILVER 2.0 AUTOSEAL) PERMANENT</t>
  </si>
  <si>
    <t>MARLBORO ADVANCE KS BOS 20 (ADVANCE 2.0 AUTOSEAL) with Printed Poly</t>
  </si>
  <si>
    <t>MARLBORO ADVANCE 2.0 (KS BOS 20) PERMANENT</t>
  </si>
  <si>
    <t>MARLBORO PURPLE BURST (2.0) MNT KS BOS 20 - SMART SEAL with Printed poly</t>
  </si>
  <si>
    <t>MARLBORO PURPLE BURST (2.0) MNT KS BOS 20 - SMART SEAL PERMANENT</t>
  </si>
  <si>
    <t>MARLBORO REFINED MENTHOL (2.0) MNT KS RESEAL PERMANENT  - bos</t>
  </si>
  <si>
    <t>MARLBORO PURPLE BURST (2.0) MNT KS BOS 20 - SMART SEAL 2ND Printed poly</t>
  </si>
  <si>
    <t>MARLBORO ICE MINT (2.0) MNT KS BOS 20 - POLY MORPHING TO ICE BLAST</t>
  </si>
  <si>
    <t>MARLBORO DOUBLE BURST (2.0) MNT KS BOS 20 - POLY PHASE 3</t>
  </si>
  <si>
    <t>MARLBORO (RED FWD) KS BOS 20 (POLY)</t>
  </si>
  <si>
    <t>MARLBORO MENTHOL (2.0) MNT KS BOS 20 (POLY)</t>
  </si>
  <si>
    <t>FA055624.02</t>
  </si>
  <si>
    <t>MARLBORO MENTHOL (2.0) MNT KS BOS 20 (1.3mg MIS)</t>
  </si>
  <si>
    <t>MARLBORO MENTHOL (2.0) MNT KS BOS 20 + Printed Poly</t>
  </si>
  <si>
    <t>FIJI</t>
  </si>
  <si>
    <t>MARLBORO GOLD ORIGINAL KS BOX 20 (NEW GHW)</t>
  </si>
  <si>
    <t>FA025695.08</t>
  </si>
  <si>
    <t>MARLBORO GOLD ORIGINAL KS BOX 20 - 2.0 2015</t>
  </si>
  <si>
    <t>FA030954.15</t>
  </si>
  <si>
    <t>MARLBORO GOLD ORIGINAL KS BOX 20 (Insert Wave 4)</t>
  </si>
  <si>
    <t>VANUATU</t>
  </si>
  <si>
    <t>TONGA</t>
  </si>
  <si>
    <t>PACIFIC ISLANDS</t>
  </si>
  <si>
    <t>MARLBORO ICE BLAST MNT KS BOX 20 (NEW GHW)</t>
  </si>
  <si>
    <t>MALAYSIA DF</t>
  </si>
  <si>
    <t>MARLBORO MINT CAPSULE (2.0) MNT KS BOX 20</t>
  </si>
  <si>
    <t>LAOS</t>
  </si>
  <si>
    <t>MARLBORO GOLD KS BOX 20 (HW Rotation #2)</t>
  </si>
  <si>
    <t>NEPAL</t>
  </si>
  <si>
    <t>Marlboro Gold 20s - 90% GHW</t>
  </si>
  <si>
    <t>NEW ZEALAND</t>
  </si>
  <si>
    <t>MARLBORO ICE BLAST MNT KS BOX 20 GHW SET B</t>
  </si>
  <si>
    <t>MALDIVES</t>
  </si>
  <si>
    <t xml:space="preserve">BOND STREET MENTHOL MNT KS BOX 20 </t>
  </si>
  <si>
    <t>MARLBORO DOUBU2.0 MNT KS BOX 20 (NEUTRAL)</t>
  </si>
  <si>
    <t>MARLBORO DOUBU2.0 MNT KS BOX 20 Pack Upgrade, new DTP Apr'16</t>
  </si>
  <si>
    <t>MARLBORO DOUBU2.0 MNT KS BOX 20 (NEW TAXSTAMP)</t>
  </si>
  <si>
    <t>FA050872.03</t>
  </si>
  <si>
    <t>MARLBORO BLMEN2.0 MNT KS BOX 20 - Special edition - 2.0 Quality campaign (insert &amp; PRIF)</t>
  </si>
  <si>
    <t>FA050872.04</t>
  </si>
  <si>
    <t>MARLBORO BLMEN2.0 MNT KS BOX 20 - Special edition  - 2.0 DBAM (insert)</t>
  </si>
  <si>
    <t>FA050872.05</t>
  </si>
  <si>
    <t>MARLBORO BLMEN2.0 MNT KS BOX 20 - Special edition - LEP 2015</t>
  </si>
  <si>
    <t>FA050872.06</t>
  </si>
  <si>
    <t>MARLBORO BLMEN2.0 MNT KS BOX 20 - Special edition - LEP 2016</t>
  </si>
  <si>
    <t>FA050872.07</t>
  </si>
  <si>
    <t>MARLBORO BLMEN2.0 MNT KS BOX 20 - Special edition - LEP 2017</t>
  </si>
  <si>
    <t>FA050873.02</t>
  </si>
  <si>
    <t>MARLBORO ICE BLAST (2.0) MNT KS BOX 20 - SUSTAIN (PRIF+insert) : APR 2015</t>
  </si>
  <si>
    <t>FA050873.03</t>
  </si>
  <si>
    <t>MARLBORO ICE BLAST (2.0) MNT KS BOX 20 - Special edition  - 2.0 DBAM (insert)</t>
  </si>
  <si>
    <t>FA050873.04</t>
  </si>
  <si>
    <t>MARLBORO ICE BLAST (2.0) MNT KS BOX 20 - Special edition - LEP 2015</t>
  </si>
  <si>
    <t>FA050873.05</t>
  </si>
  <si>
    <t>MARLBORO ICE BLAST (2.0) MNT KS BOX 20 - Special edition - LEP 2016</t>
  </si>
  <si>
    <t>FA050873.06</t>
  </si>
  <si>
    <t>MARLBORO ICE BLAST (2.0) MNT KS BOX 20 - Special edition - LEP 2017</t>
  </si>
  <si>
    <t>MARLBORO MENTHOL (2.0) MNT KS BOX 20 (1.0mg MIS)</t>
  </si>
  <si>
    <t>FA050905.01</t>
  </si>
  <si>
    <t>MARLBORO BLACK MENTHOL MNT KS BOX 20 - Neutral - MBW Paper; cool tipping</t>
  </si>
  <si>
    <t>MARLBORO BLACK MENTHOL MNT KS BOX 20 - New Tax Stamp</t>
  </si>
  <si>
    <t>FA050906.01</t>
  </si>
  <si>
    <t>MARLBORO ICE BLAST MNT KS BOX 20 - Neutral - Firm filter / Bigger capsule - 2016</t>
  </si>
  <si>
    <t>MARLBORO ICE BLAST MNT KS BOX 20 - New tax stamp</t>
  </si>
  <si>
    <t>FA051014.04</t>
  </si>
  <si>
    <t>MARLBORO (RED FWD) KS BOX 20 - Filter 21mm to 27mm</t>
  </si>
  <si>
    <t>MARLBORO BLACK MENTHOL KS BOX 20 (WAVE 6)</t>
  </si>
  <si>
    <t>MARLBORO BLACK MENTHOL KS BOX 20 (WAVE 7)</t>
  </si>
  <si>
    <t>MARLBORO BLACK MENTHOL KS BOX 20 (WAVE 8)</t>
  </si>
  <si>
    <t>MARLBORO BLMEN2.0 MNT KS BOX 20 + Insert (Localized)</t>
  </si>
  <si>
    <t>FA053613.10</t>
  </si>
  <si>
    <t>MARLBORO BLMEN2.0 MNT KS BOX 20 + PRIF</t>
  </si>
  <si>
    <t>EAST TIMOR</t>
  </si>
  <si>
    <t>MARLBORO GOLD (2.0 Original) KS BOX 20</t>
  </si>
  <si>
    <t>MARLBORO ICE BLAST KS BOX 20 (WAVE 6)</t>
  </si>
  <si>
    <t>MARLBORO ICE BLAST KS BOX 20 (WAVE 7)</t>
  </si>
  <si>
    <t>MARLBORO ICE BLAST KS BOX 20 (WAVE 8)</t>
  </si>
  <si>
    <t>MARLBORO ICE BLAST (2.0) MNT KS BOX 20 + Insert (Localized)</t>
  </si>
  <si>
    <t>FA055864.09</t>
  </si>
  <si>
    <t>MARLBORO ICE BLAST (2.0) MNT KS BOX 20 + PRIF</t>
  </si>
  <si>
    <t>MARLBORO GOLD ORIGINAL (2.0) KS FTB 20 - MAY 2015</t>
  </si>
  <si>
    <t>MARLBORO GOLD ORIGINAL (2.0) KS FTB 20 - Tax Stamp Change</t>
  </si>
  <si>
    <t>MARLBORO (GOLD 2.0 Original KS FTB 20) - WAVE 3</t>
  </si>
  <si>
    <t>MARLBORO (GOLD 2.0 Original KS FTB 20) - WAVE 4</t>
  </si>
  <si>
    <t>MARLBORO (GOLD 2.0 Original KS FTB 20) - WAVE 5</t>
  </si>
  <si>
    <t>MARLBORO GOLD ORIGINAL KS BOX 20 + Insert (Releazed)</t>
  </si>
  <si>
    <t>FA056130.11</t>
  </si>
  <si>
    <t xml:space="preserve">MARLBORO GOLD ORIGINAL KS BOX 20 + PRIF </t>
  </si>
  <si>
    <t>MARLBORO GOLD ORIGINAL KS BOX 20 (Phase 2): With Printed Inner Frame</t>
  </si>
  <si>
    <t>MARLBORO BLACK MENTHOL (2.0) MNT KS BOX 20</t>
  </si>
  <si>
    <t>TAIWAN</t>
  </si>
  <si>
    <t>MARLBORO BLMEN 2.0 MNT KS BOX 20</t>
  </si>
  <si>
    <t xml:space="preserve">MARLBORO PURPLE BURST 5 MNT KS BOS 20 </t>
  </si>
  <si>
    <t>MARLBORO AMBER BURST (2.0) MNT KS BOX 20 (NEUTRAL)</t>
  </si>
  <si>
    <t>AUSTRALIA</t>
  </si>
  <si>
    <t>CHOICE SIGNATURE BOLD BLEND KS BOX 20 SET A</t>
  </si>
  <si>
    <t>CHOICE SIGNATURE CLASSIC BLEND KS BOX 20 SET A</t>
  </si>
  <si>
    <t>MARLBORO GOLD 2.0 KS BOX 20 ‐ DF (DC outer)</t>
  </si>
  <si>
    <t>CHESTERFIELD FILTERSR KS BOX 20 RED</t>
  </si>
  <si>
    <t>CHESTERFIELD FILTERSR KS BOX 20 RED - New TS</t>
  </si>
  <si>
    <t>CHESTERFIELD FILTERSB KS BOX 20 BLUE</t>
  </si>
  <si>
    <t>CHESTERFIELD FILTERSB KS BOX 20 BLUE - New TS</t>
  </si>
  <si>
    <t xml:space="preserve">BOND STREET RED BOX KS BOX 20 </t>
  </si>
  <si>
    <t xml:space="preserve">BOND STREET BLUE KS BOX 20 </t>
  </si>
  <si>
    <t>FA059814.00</t>
  </si>
  <si>
    <t xml:space="preserve">MARLBORO ADVANCE (2.0) KS BOX 20  </t>
  </si>
  <si>
    <t>MACAU</t>
  </si>
  <si>
    <t>Marlboro Purple Burst (Truman+Menthol Enhancer) Double Capsule</t>
  </si>
  <si>
    <t>Marlboro Amber Burst (Chandler+Menthol Enhancer) Double Capsule</t>
  </si>
  <si>
    <t>Purple Burst BOX format, new DTP</t>
  </si>
  <si>
    <t>Amber Burst BOX format, new DTP</t>
  </si>
  <si>
    <t>MARLBORO DOUBU2.0 MNT KS BOX 20 - TEASER INSERT</t>
  </si>
  <si>
    <t>MARLBORO DOUBU2.0 MNT KS BOX 20 UPGRADED + Poly + PRIF + Insert Mar'16 (week 9 - 10)</t>
  </si>
  <si>
    <t>MARLBORO DOUBU2.0 MNT KS BOX 20 UPGRADED + Poly + PRIF Mar'16 (week 11 - 13)</t>
  </si>
  <si>
    <t>MARLBORO DOUBU2.0 MNT KS BOX 20 UPGRADED + Insert (Preliminary)</t>
  </si>
  <si>
    <t>FA062178.04</t>
  </si>
  <si>
    <t>MARLBORO DOUBU2.0 MNT KS BOX 20 UPGRADED + PRIF</t>
  </si>
  <si>
    <t>Amber Burst BOX format, new DTP + Poly + PRIF + Insert</t>
  </si>
  <si>
    <t>Amber Burst BOX format, new DTP + PRIF + Poly</t>
  </si>
  <si>
    <t>FA062192.02</t>
  </si>
  <si>
    <t>Amber Burst BOX format, new DTP + insert (Preliminary)</t>
  </si>
  <si>
    <t>FA062192.03</t>
  </si>
  <si>
    <t xml:space="preserve">Amber Burst BOX format, new DTP + Poly + PRIF </t>
  </si>
  <si>
    <t>Purple Burst BOX format, new DTP + Poly + PRIF + Insert</t>
  </si>
  <si>
    <t xml:space="preserve">Purple Burst BOX format, new DTP + PRIF + Poly </t>
  </si>
  <si>
    <t>FA062193.02</t>
  </si>
  <si>
    <t>Purple Burst BOX format, new DTP + Insert (Prelimenary)</t>
  </si>
  <si>
    <t>FA062193.03</t>
  </si>
  <si>
    <t xml:space="preserve">Purple Burst BOX format, new DTP + Poly + PRIF </t>
  </si>
  <si>
    <t>CHESTERFIELD FILTERSB KS BOX 20 RED (insert)</t>
  </si>
  <si>
    <t>CHESTERFIELD FILTERSB KS BOX 20 BLUE (insert)</t>
  </si>
  <si>
    <t>FRENCH POLYNESIA</t>
  </si>
  <si>
    <t>MARLBORO ICE BLAST KS BOX 20 2.0</t>
  </si>
  <si>
    <t xml:space="preserve">MARLBORO GOLD ORIGINAL KS BOX 20 </t>
  </si>
  <si>
    <t>CHESTERFIELD FILTERSR  KS BOX 20</t>
  </si>
  <si>
    <t>CHESTERFIELD FILTERSB  KS BOX 20</t>
  </si>
  <si>
    <t>FA064321.00</t>
  </si>
  <si>
    <t>CHESTERFIELD GREEN KS BOX 20</t>
  </si>
  <si>
    <t>FA062046.01</t>
  </si>
  <si>
    <t>MARLBORO AMBER BURST 5 KS BOX 20</t>
  </si>
  <si>
    <t>FA064585.00</t>
  </si>
  <si>
    <t>MARLBORO PURPLE BURST 5 KS BOX 20</t>
  </si>
  <si>
    <t>FA064608.00</t>
  </si>
  <si>
    <t>MARLBORO AMBER BURST 5 KS BOX 20- POLY</t>
  </si>
  <si>
    <t>FA064609.00</t>
  </si>
  <si>
    <t>MARLBORO PURPLE BURST 5 KS BOX 20- POLY</t>
  </si>
  <si>
    <t>FA065330.00</t>
  </si>
  <si>
    <t xml:space="preserve">MARLBORO PREMIUM BLACK BOX 20 </t>
  </si>
  <si>
    <t>FA050426.01</t>
  </si>
  <si>
    <t>MARLBORO BLACK MENTHOL (2.0) KS BOX 20</t>
  </si>
  <si>
    <t xml:space="preserve">MARLBORO ICE BLAST BOX 20 </t>
  </si>
  <si>
    <t>L&amp;M BLUE LINE KS BOX 20 (4.0 Permanent)  </t>
  </si>
  <si>
    <t>MARLBORO PURPLE BURST 5 MNT KS BOX 20 (POLY)</t>
  </si>
  <si>
    <t>MARLBORO AMBER BURST 5 MNT KS BOX 20 (POLY)</t>
  </si>
  <si>
    <t>FA065455.00</t>
  </si>
  <si>
    <t xml:space="preserve">L&amp;M EXTRA MENTHOL MNT KS BOX 20 (4.0 Permanent)  </t>
  </si>
  <si>
    <t>CAMBODIA</t>
  </si>
  <si>
    <t>MARLBORO GOLD 2.5 KS BOX 20</t>
  </si>
  <si>
    <t>CHESTERFIELD PURPLE CAPS 5 RCB KS 20 Neutral</t>
  </si>
  <si>
    <t>PETER JACKSON HYBRIDSI KS BOX 20</t>
  </si>
  <si>
    <t xml:space="preserve">L&amp;M FAST FORWARD MNT KS BOX 20 (4.0 Permanent)  </t>
  </si>
  <si>
    <t xml:space="preserve">L&amp;M Fast Forward Purple FTB20 (Permanent HL)  </t>
  </si>
  <si>
    <t>NEW CALEDONIA</t>
  </si>
  <si>
    <t>MARLBORO ICE BLAST MNT 2.5 KS BOX 20</t>
  </si>
  <si>
    <t>CHOICE SIGNATURE BOLD BLEND KS BOX 20 SET B</t>
  </si>
  <si>
    <t>MARLBORO RED UPGRADE KS BOX 20 (NEW GHW)</t>
  </si>
  <si>
    <t>MARLBORO (RED UPGRADE ) KS BOX 20</t>
  </si>
  <si>
    <t>MARLBORO RED (UPGRADE) KS BOX 20 HW #2</t>
  </si>
  <si>
    <t>Marlboro Red 20s - 90% GHW</t>
  </si>
  <si>
    <t>L&amp;M RED LABEL KS BOX 20 (change address)</t>
  </si>
  <si>
    <t>MARLBORO ( RED UPGRDE ) KS BOX 20 (Phase 2): With Printed Inner Frame</t>
  </si>
  <si>
    <t>MARLBORO MENTHOL (2.0) MNT KS BOX 20 (WAVE 6)</t>
  </si>
  <si>
    <t>MARLBORO MENTHOL (2.0) MNT KS BOX 20 (WAVE 7)</t>
  </si>
  <si>
    <t>MARLBORO MENTHOL (2.0) MNT KS BOX 20 (WAVE 8)</t>
  </si>
  <si>
    <t>MARLBORO MENTHOL (2.0) MNT KS BOX 20 + Insert (Localized)</t>
  </si>
  <si>
    <t>FA050871.12</t>
  </si>
  <si>
    <t xml:space="preserve">MARLBORO MENTHOL (2.0) MNT KS BOX 20 + PRIF </t>
  </si>
  <si>
    <t>MARLBORO MENTHOL (2.0) MNT KS BOX 20 - Neutral - No PRIF; No inserts</t>
  </si>
  <si>
    <t>FA050904.01</t>
  </si>
  <si>
    <t>MARLBORO MENTHOL MNT KS BOX 20 - Neutral - MBW paper; natural menthol</t>
  </si>
  <si>
    <t>MARLBORO MENTHOL (2.0) MNT KS BOX 20 (1.0mg MIS) - new tax stamp</t>
  </si>
  <si>
    <t>MARLBORO (RED FWD) KS BOX 20- 2015 (WAVE 1)</t>
  </si>
  <si>
    <t>FA051014.02</t>
  </si>
  <si>
    <t>MARLBORO (RED FWD) KS BOX 20- 2015 (WAVE 2)</t>
  </si>
  <si>
    <t>FA051014.03</t>
  </si>
  <si>
    <t>MARLBORO (RED FWD) KS BOX 20- 2015 (WAVE 3)</t>
  </si>
  <si>
    <t>MARLBORO (RED FWD) KS BOX 20-  Tax Stamp Change</t>
  </si>
  <si>
    <t>MARLBORO (RED FWD) KS BOX 20 (WAVE 4)</t>
  </si>
  <si>
    <t>MARLBORO (RED FWD) KS BOX 20 (WAVE 5)</t>
  </si>
  <si>
    <t>MARLBORO (RED FWD) KS BOX 20 (WAVE 6)</t>
  </si>
  <si>
    <t>MARLBORO (RED FWD) KS BOX 20 (WAVE 7)</t>
  </si>
  <si>
    <t>MARLBORO (RED FWD) KS BOX 20 (WAVE 8)</t>
  </si>
  <si>
    <t>MARLBORO (RED FWD) KS BOX 20 (WAVE 9)</t>
  </si>
  <si>
    <t>MARLBORO (RED FWD) KS BOX 20 + Insert (Releazed)</t>
  </si>
  <si>
    <t>FA051019.19</t>
  </si>
  <si>
    <t xml:space="preserve">MARLBORO (RED FWD) KS BOX 20 + PRIF </t>
  </si>
  <si>
    <t xml:space="preserve">L&amp;M FF (4.0 UPGRADE) KS BOX 20 </t>
  </si>
  <si>
    <t>MARLBORO (RED FWD) KS BOX 20 GHW Set B</t>
  </si>
  <si>
    <t>Marlboro (Red FWD) KS Box 20 - Step 3 (New Address)</t>
  </si>
  <si>
    <t>THAILAND</t>
  </si>
  <si>
    <t>AUSTRALIA DF</t>
  </si>
  <si>
    <t>MARLBORO (RED FWD) KS BOX 20 GHW Set A</t>
  </si>
  <si>
    <t>L&amp;M GREEN LINE MNT KS BOX 20 (Blend Upgrade)</t>
  </si>
  <si>
    <t>FA050855.02</t>
  </si>
  <si>
    <t xml:space="preserve">MARLBORO (RED FWD) KS BOX 20      </t>
  </si>
  <si>
    <t>L&amp;M RED LINE KS BOX 20 (4.0 Printed Poly)  </t>
  </si>
  <si>
    <t xml:space="preserve">L&amp;M RED LINE KS BOX 20 (4.0 Permanent)  </t>
  </si>
  <si>
    <t xml:space="preserve">L&amp;M BLUE LINE KS BOX 20 (4.0 Printed Poly)  </t>
  </si>
  <si>
    <t xml:space="preserve">L&amp;M GREEN LINE MNT KS BOX 20 (4.0 Printed Poly)  </t>
  </si>
  <si>
    <t xml:space="preserve">L&amp;M GREEN LINE MNT KS BOX 20 (4.0 Permanent)  </t>
  </si>
  <si>
    <t xml:space="preserve">L&amp;M EXTRA MENTHOL MNT KS BOX 20 (4.0 Printed Poly)  </t>
  </si>
  <si>
    <t xml:space="preserve">L&amp;M FAST FORWARD MNT KS BOX 20 (4.0 Printed Poly)  </t>
  </si>
  <si>
    <t>MARLBORO (RED UPGRADE) 2.5 KS BOX 20</t>
  </si>
  <si>
    <t xml:space="preserve">CHESTERFIELD CAPSPURP MNT KS RCB 20 </t>
  </si>
  <si>
    <t>L&amp;M RED LABEL KS RCB 20 4.0</t>
  </si>
  <si>
    <t>MARLBORO (RED FWD) KS BOS 20 (POLY) 2 WAVE</t>
  </si>
  <si>
    <t>MARLBORO GOLD ORIGINAL KS BOS 20 + Printed Poly (2WAVE)</t>
  </si>
  <si>
    <t>CHOICE SIGNATURE BOLD BLEND KS BOX 25 Set A</t>
  </si>
  <si>
    <t>CHOICE SIGNATURE CLASSIC BLEND KS BOX 25 Set A</t>
  </si>
  <si>
    <t>CHOICE SIGNATURE BLONDE BLEND KS BOX 25 Set A</t>
  </si>
  <si>
    <t>CHESTERFIELD RED (CROWN 3.0) - REDCR3</t>
  </si>
  <si>
    <t>CHESTERFIELD BLUE (CROWN 3.0) - BLUCR3</t>
  </si>
  <si>
    <t>CHESTERFIELD GREEN (CROWN 3.0) - GREENCRO</t>
  </si>
  <si>
    <t>MARLBORO ICEBL2.0 MNT KS BOX 20 Set B</t>
  </si>
  <si>
    <t>MARLBORO GOLD 2.5 KS RCB 20 Set B</t>
  </si>
  <si>
    <t>L&amp;M RED LABEL (B) KS BOX 20 - GHW  </t>
  </si>
  <si>
    <t>CHESTERFIELD VIRGINIA CAPSULE</t>
  </si>
  <si>
    <t>MARLBORO (RED FWD) KS TIN 20 - TIN PACK LEP 2016</t>
  </si>
  <si>
    <t xml:space="preserve">FA064686.00 </t>
  </si>
  <si>
    <t xml:space="preserve">MARLBORO GOLD ORIGINAL (2.0) KS TIN 20 - TIN PACK LEP 2016 </t>
  </si>
  <si>
    <t>Marlboro Purple Burst</t>
  </si>
  <si>
    <t>Marlboro Amber Burst</t>
  </si>
  <si>
    <t>PJ HYBRID DOUBLE SHOT KS BOX 25</t>
  </si>
  <si>
    <t>MARLBORO GOLD ORIGINAL 2.5 KS BOX 25</t>
  </si>
  <si>
    <t>MARLBORO (RED UPGRADE) 2.5 KS BOX 25</t>
  </si>
  <si>
    <t>L&amp;M MENTHOL CAPSULE KS RCB  (4.0 Upgrade) - new tax stamp</t>
  </si>
  <si>
    <t>L&amp;M MENTHOL CAPSULE MNT KS RCB 20  - 4.0 +Insert 2 &amp; PRIF 1</t>
  </si>
  <si>
    <t xml:space="preserve">L&amp;M MENTHOL CAPSULE MNT KS RCB 20  - 4.0 +Insert 2 &amp; PRIF Permanent  </t>
  </si>
  <si>
    <t xml:space="preserve">FA066107.00 </t>
  </si>
  <si>
    <t>MARLBORO GOLD ORIGINAL 2.5 KS RCB 20</t>
  </si>
  <si>
    <t>L&amp;M RED CAPSULE KS RCB (4.0 Upgrade) new tax stamp</t>
  </si>
  <si>
    <t>MARLBORO GOLD ADVANCE KS RCB 20 (FINAL TAR)</t>
  </si>
  <si>
    <t>MARLBORO GOLD ADVANCE KS RCB 20 (FINAL TAR) Tax Stamp Change</t>
  </si>
  <si>
    <t>FA049076.04</t>
  </si>
  <si>
    <t>MARLBORO GOLD ADVANCE KS RCB 20  + Insert (Preliminary)</t>
  </si>
  <si>
    <t>FA049076.05</t>
  </si>
  <si>
    <t>MARLBORO GOLD ADVANCE KS RCB 20 + PRIF</t>
  </si>
  <si>
    <t>L&amp;M CHARCOAL-CAPSULE-HOLLOW FILTER KS RCB 20 (OCT '15)</t>
  </si>
  <si>
    <t>L&amp;M CHARCOAL-CAPSULE-HOLLOW FILTER KS RCB 20 (OCT '15) new TS</t>
  </si>
  <si>
    <t>L&amp;M THREAD FILTER (MINT) KS RCB 20 (4.0 Upgrade) new tax stamp</t>
  </si>
  <si>
    <t xml:space="preserve">L&amp;M CHARCOAL-FILTER-CAPSULE KS RCB 20  - 4.0 + Insert &amp; PRIF  </t>
  </si>
  <si>
    <t xml:space="preserve">L&amp;M CHARCOAL-FILTER-CAPSULE KS RCB 20  - 4.0 + Insert &amp; PRIF -2  </t>
  </si>
  <si>
    <t>FA050745.00</t>
  </si>
  <si>
    <t>L&amp;M MINT THREAD KS RCB 20 - INSERT + PRIF</t>
  </si>
  <si>
    <t>FA050812.01</t>
  </si>
  <si>
    <t>MARLBORO ADVANCE HYBRID KS RCB 20 - Architecture 2.0</t>
  </si>
  <si>
    <t>MARLBORO ADVANCE HYBRID KS RCB 20s - Tax Stamp Change</t>
  </si>
  <si>
    <t>CHESTERFIELD MENTHOL MNT KS RCB 20 (Neutral)</t>
  </si>
  <si>
    <t>FA053619.00</t>
  </si>
  <si>
    <t>MARLBORO ADVANCE (2.0) KS RCB 20</t>
  </si>
  <si>
    <t>FA053985.03</t>
  </si>
  <si>
    <t xml:space="preserve">L&amp;M THREAD FILTER (MINT) KS RCB 20 - 4.0 + Insert &amp; PRIF -2  </t>
  </si>
  <si>
    <t>FA055866.02</t>
  </si>
  <si>
    <t xml:space="preserve">L&amp;M RED CORE KS RCB 20 - Permanent PRIF </t>
  </si>
  <si>
    <t>FA055866.03</t>
  </si>
  <si>
    <t>L&amp;M RED CORE KS RCB 20 new tax stamp</t>
  </si>
  <si>
    <t>FA055879.00</t>
  </si>
  <si>
    <t>L&amp;M (RED CAPSULE) KS RCB 20 - INSERT 2015</t>
  </si>
  <si>
    <t>FA055879.01</t>
  </si>
  <si>
    <t>FA055880.00</t>
  </si>
  <si>
    <t>L&amp;M CHARCOAL FILTER KS RCB 20 - insert wave 1</t>
  </si>
  <si>
    <t>FA055880.01</t>
  </si>
  <si>
    <t>L&amp;M CHARCOAL FILTER KS RCB 20 - insert wave 2</t>
  </si>
  <si>
    <t>FA055882.00</t>
  </si>
  <si>
    <t>L&amp;M MENTHOL CAPSULE MNT KS RCB 20 - INSERT 2015 (wave 1)</t>
  </si>
  <si>
    <t>FA055882.01</t>
  </si>
  <si>
    <t>L&amp;M MENTHOL CAPSULE MNT KS RCB 20 - INSERT 2015 (wave 2)</t>
  </si>
  <si>
    <t>FA055883.00</t>
  </si>
  <si>
    <t>L&amp;M THREAD FILTER (MINT) KS RCB 20 - INSERT 2015</t>
  </si>
  <si>
    <t>FA055883.01</t>
  </si>
  <si>
    <t>FA055884.00</t>
  </si>
  <si>
    <t>L&amp;M THREAD FILTER (MINT) KS RCB 20 - INSERT MIX</t>
  </si>
  <si>
    <t>CHESTERFIELD MINT BURST MNT KS RCB 20 (Neutral)</t>
  </si>
  <si>
    <t>L&amp;M CHARCOAL-CAPSULE-HOLLOW FILTER KS RCB 20</t>
  </si>
  <si>
    <t xml:space="preserve">CHESTERFIELD BLUE RCB KS 20 - PHASE 2 POLY  </t>
  </si>
  <si>
    <t xml:space="preserve">CHESTERFIELD MENTHOL RCB KS 20 - PHASE 2 POLY </t>
  </si>
  <si>
    <t xml:space="preserve">CHESTERFIELD MINT BURST RCB KS 20 - PHASE 2 POLY  </t>
  </si>
  <si>
    <t>NEXT FINE MNT KS RCB 20 (Transition Printed Poly)</t>
  </si>
  <si>
    <t>NEXT FINE MNT KS RCB 20 - Neutral Pack Upgrade 2016</t>
  </si>
  <si>
    <t>NEXT MINT TWIST MNT KS RCB 20 Neutral Pack Upgrade 2016</t>
  </si>
  <si>
    <t>NEXT MINT TWIST MNT KS RCB 20 (Transition Printed Poly)</t>
  </si>
  <si>
    <t>NEXT FINE KS RCB 20 Neutral Pack Upgrade 2016</t>
  </si>
  <si>
    <t>FA062486.00</t>
  </si>
  <si>
    <t xml:space="preserve">L&amp;M RED CORE KS RCB 20 - Insert + Permanent PRIF </t>
  </si>
  <si>
    <t>CHESTERFIELD BLUE KS RCB 20 (Neutral)</t>
  </si>
  <si>
    <t>L&amp;M FAST FORWARD PURPLE KS 20 RBC</t>
  </si>
  <si>
    <t xml:space="preserve">L&amp;M (RED CAPSULE) KS RCB 20 </t>
  </si>
  <si>
    <t>CHESTERFIELD GREEN KS RCB 20s (neutral)</t>
  </si>
  <si>
    <t>NEW ZEALAND DF</t>
  </si>
  <si>
    <t>CHESTERFIELD RED KS--RCB</t>
  </si>
  <si>
    <t>FA065028.00</t>
  </si>
  <si>
    <t>MARLBORO ADVANCE KS RCB 20</t>
  </si>
  <si>
    <t>FA065310.00</t>
  </si>
  <si>
    <t>L&amp;M BLUE LABEL KS RCB 20  </t>
  </si>
  <si>
    <t>NEXT Amber Twist KS RCB 20</t>
  </si>
  <si>
    <t>CHESTERFIELD PURPLE CAPS 8 MNT KS RCB 20 (POLY)</t>
  </si>
  <si>
    <t>CHESTERFIELD CAPS PURPLE(3.0 CC) KS RCB 20 (Neutral)</t>
  </si>
  <si>
    <t>CHESTERFIELD PURPLE CAPS 5 MNT KS RCB 20 (POLY)</t>
  </si>
  <si>
    <t>CHESTERFIELD GREEN KS RCB 20s (pack inserts)</t>
  </si>
  <si>
    <t>CHESTERFIELD BLUE KS RCB 20 (CLICLOK)</t>
  </si>
  <si>
    <t>CHESTERFIELD FILTERSR KS RCB 20 STD (PACK INSERT)</t>
  </si>
  <si>
    <t>CHESTERFIELD FILTERSB KS RCB 20 STD (PACK INSERT)</t>
  </si>
  <si>
    <t>CHESTERFIELD RED KS RCB 20 (Neutral)</t>
  </si>
  <si>
    <t>CHESTERFIELD RED RCB KS 20 - PHASE 2 POLY</t>
  </si>
  <si>
    <t>NEXT ORIGINAL KS RCB 20 (Transition Printed Poly)</t>
  </si>
  <si>
    <t>NEXT ORIGINAL KS RCB 20 Neutral Pack Upgrade 2016</t>
  </si>
  <si>
    <t>CHESTERFIELD BLUE KS--RCB</t>
  </si>
  <si>
    <t>FA065029.00 </t>
  </si>
  <si>
    <t>L&amp;M RED LABEL KS RCB 20  </t>
  </si>
  <si>
    <t>NEXT MNT KS RCB 20 Neutral Pack Upgrade 2016</t>
  </si>
  <si>
    <t>MARLBORO GOLD 2.0 ORIGINAL KS SOF 20</t>
  </si>
  <si>
    <t>MARLBORO GOLD - CORE - 2.0 (CNY LEP)</t>
  </si>
  <si>
    <t xml:space="preserve">MARLBORO ( RED UPGRADE ) KS SOF 20 </t>
  </si>
  <si>
    <t>MARLBORO (RED FWD) KS SOF 20 - 2015</t>
  </si>
  <si>
    <t>MARLBORO (RED FWD) KS SOF 20 - 2015 Tax Stamp Change</t>
  </si>
  <si>
    <t>MARLBORO (RED FWD) KS 20 - ANT V (CNY LEP)</t>
  </si>
  <si>
    <t>FA050854.01</t>
  </si>
  <si>
    <t>MARLBORO ( RED UPGRADE ) KS SOF 20</t>
  </si>
  <si>
    <t>FA056800.00</t>
  </si>
  <si>
    <t>MARLBORO PREMIUM BLACK KS RCS 20</t>
  </si>
  <si>
    <t xml:space="preserve">Marlboro Black Menthol KS Box 20s </t>
  </si>
  <si>
    <t>MARLBORO PURPLE BURST 5 MNT KS BOS 20 (POLY)</t>
  </si>
  <si>
    <t>MARLBORO REFINED MENTHOL (2.0) MNT KS BLEND UPGRADE</t>
  </si>
  <si>
    <t>FA062490.05</t>
  </si>
  <si>
    <t>MARLBORO WHITE MENTHOL (2.0) MNT KS BOS 20 (MIS 1.0)</t>
  </si>
  <si>
    <t>FA052294.05</t>
  </si>
  <si>
    <t>FA052294.06</t>
  </si>
  <si>
    <t>FA058355.04</t>
  </si>
  <si>
    <t>FA058355.05</t>
  </si>
  <si>
    <t>NEXT FINE KS RCB 20 - Blend Change to Beppu III</t>
  </si>
  <si>
    <t xml:space="preserve">L&amp;M MENTHOL CAPSULE KS RCB (4.0 Upgrade)   </t>
  </si>
  <si>
    <t>L&amp;M RED CAPSULE KS RCB (4.0 Upgrade</t>
  </si>
  <si>
    <t xml:space="preserve">Chesterfield Mint Burst RCB </t>
  </si>
  <si>
    <t>MARLBORO DOUBLE BLAST KS BOX 20 LEP GHW A</t>
  </si>
  <si>
    <t>MARLBORO RED 2.0 (UPGRADE) KS BOX 20</t>
  </si>
  <si>
    <t>MARLBORO GOLD 2.0 ORIGINAL KS BOX 20</t>
  </si>
  <si>
    <t>MARLBORO RED 2.5 KS BOX 20 GHW (GHW#2 THW#2)</t>
  </si>
  <si>
    <t>MARLBORO RED 2.5 KS BOX 20 GHW (GHW#5 THW#5)</t>
  </si>
  <si>
    <t>L&amp;M FF 4.0 KS BOX 20 GHW (GHW#1 THW#1)</t>
  </si>
  <si>
    <t>L&amp;M FF 4.0 KS BOX 20 GHW (GHW#3 THW#3)</t>
  </si>
  <si>
    <t>MARLBORO GOLD 2.5 KS BOX 20 GHW (GHW#4 THW#4)</t>
  </si>
  <si>
    <t>MARLBORO GOLD 2.5 KS BOX 20 GHW (GHW#6 THW#6)</t>
  </si>
  <si>
    <t>MARLBORO - (RED FWD) KS BOS JUMBO - ASIA PACIFIC DF</t>
  </si>
  <si>
    <t>MARLBORO - FLAVOR MIX (FWD) KS BOS JUMBO WHITE - ASIA PACIFIC DF</t>
  </si>
  <si>
    <t>MARLBORO - GOLD (2.0 ORIGINAL) KS BOS JUMBO WHITE - ASIA PACIFIC DF</t>
  </si>
  <si>
    <t>MARLBORO - SILVER (2.0) KS BOS JUMBO WHITE - ASIA PACIFIC DF</t>
  </si>
  <si>
    <t>MARLBORO - BLACK MENTHOL (2.0) MENTHOL KS BOS JUMBO WHITE - ASIA PACIFIC DF</t>
  </si>
  <si>
    <t>FA059614.00</t>
  </si>
  <si>
    <t>MARLBORO - DOUBLE BURST (2.0) MENTHOL KS BOS C JUMBO WHITE - ASIA PACIFIC DF</t>
  </si>
  <si>
    <t>MARLBORO - ICE BLAST (2.0) MENTHOL KS BOS C JUMBO WHITE - ASIA PACIFIC DF</t>
  </si>
  <si>
    <t>MARLBORO WHITE MENTHOL 2.0 MNT KS BOS 20</t>
  </si>
  <si>
    <t>MARLBORO - MENTHOL (2.0) MENTHOL KS BOS JUMBO WHITE - ASIA PACIFIC DF</t>
  </si>
  <si>
    <t>FA064482.01</t>
  </si>
  <si>
    <t>MARLBORO PURPLE BURST MNT KS BOS 20 - ASIA PACIFIC DF (to be revamp in Oct'17)</t>
  </si>
  <si>
    <t>FA064481.01</t>
  </si>
  <si>
    <t>MARLBORO AMBER BURST MNT KS BOS 20 - ASIA PACIFIC DF (to be revamp in Oct'17)</t>
  </si>
  <si>
    <t>MARLBORO - (RED FWD) KS BOS JUMBO - HK DF DEPARTURE</t>
  </si>
  <si>
    <t>MARLBORO - GOLD (2.5) KS BOS TRANSPARENT BUNDLE WHITE - HK DF DEPARTURE</t>
  </si>
  <si>
    <t>MARLBORO - SILVER (2.5) KS BOS TRANSPARENT BUNDLE WHITE - HK DF DEPARTURE</t>
  </si>
  <si>
    <t>MARLBORO - BLACK MENTHOL (2.0) MENTHOL KS BOS JUMBO - HK DF DEPARTURE</t>
  </si>
  <si>
    <t>FA064601.00</t>
  </si>
  <si>
    <t>MARLBORO DOUBU2.0 MNT KS BOS 20 - HK DF DEPARTURE</t>
  </si>
  <si>
    <t>MARLBORO - ICE BLAST (2.0) MENTHOL KS BOS C JUMBO WHITE - HK DF DEPARTURE</t>
  </si>
  <si>
    <t>MARLBORO - WHITE MENTHOL (2.0) MENTHOL KS BOS JUMBO WHITE - HK DF DEPARTURE</t>
  </si>
  <si>
    <t>FA064480.01</t>
  </si>
  <si>
    <t>MARLBORO PURPLE BURST MNT KS BOS 20 - HK Depature (to be revamp in Oct'17)</t>
  </si>
  <si>
    <t>FA064479.01</t>
  </si>
  <si>
    <t>MARLBORO AMBER BURST MNT KS BOS 20 - HK Departure (to be revamp in Oct'17)</t>
  </si>
  <si>
    <t>MARLBORO (RED FWD) KS BOS 20 - MALAYSIA DF</t>
  </si>
  <si>
    <t>MARLBORO GOLD (2.5) KS BOS 20 - MALAYSIA DF</t>
  </si>
  <si>
    <t>MARLBORO MINT CAPSULE MNT KS BOS 20 - MALAYSIA DF</t>
  </si>
  <si>
    <t>MARLBORO BLMEN2.0 MNT KS BOS 20 - MALAYSIA DF</t>
  </si>
  <si>
    <t>MARLBORO MENTHOL (2.0) MNT KS BOS 20 - MALAYSIA DF</t>
  </si>
  <si>
    <t>FA059621.00</t>
  </si>
  <si>
    <t>MARLBORO DOUBU2.0 MNT KS BOS 20 - MALAYSIA DF</t>
  </si>
  <si>
    <t>MARLBORO PURPLE BURST MNT KS BOS 20 - MALAYSIA DF</t>
  </si>
  <si>
    <t>FA064231.00</t>
  </si>
  <si>
    <t>MARLBORO AMBER BURST MNT KS BOS 20 - MALAYSIA DF</t>
  </si>
  <si>
    <t>L&amp;M RED LINE KS BOX 20 (4.0 DTP Change)</t>
  </si>
  <si>
    <t>MARLBORO PURPLE BURST UPGRADE MNT KS BOX 20</t>
  </si>
  <si>
    <t>CHOICE SIGNATURE CLASSIC BLEND KS BOX 20 SET B</t>
  </si>
  <si>
    <t>CHOICE SIGNATURE BOLD BLEND KS BOX 25 Set B</t>
  </si>
  <si>
    <t>CHOICE SIGNATURE CLASSIC BLEND KS BOX 25 Set B</t>
  </si>
  <si>
    <t>CHOICE SIGNATURE BLONDE BLEND KS BOX 25 Set B</t>
  </si>
  <si>
    <t>MARLBORO (RED FWD) KS BOS 20 + Printed Poly</t>
  </si>
  <si>
    <t>MARLBORO GOLD (2.0 ORIGINAL) KS BOS 20 + Printed Poly </t>
  </si>
  <si>
    <t xml:space="preserve">MARLBORO ICE BLAST (2.0) MNT KS BOS 20 + Printed Poly  </t>
  </si>
  <si>
    <t>L&amp;M (RED CAPSULE) KS RCB 20 + Insert &amp; PRIF (Fine Cut)</t>
  </si>
  <si>
    <t>L&amp;M CHARCOAL-FILTER-CAPSULE KS RCB 20 + Insert &amp; PRIF (Fine Cut)</t>
  </si>
  <si>
    <t>L&amp;M MENTHOL CAPSULE MNT KS RCB 20 + Insert &amp; PRIF (Fine Cut)</t>
  </si>
  <si>
    <t>MARLBORO ICE BLAST (2.0) MNT KS BOS 20-MEGA CAPSULE</t>
  </si>
  <si>
    <t>RAYA LEP MARLBORO (RED FWD) KS BOS 20 - 2017</t>
  </si>
  <si>
    <t>NEXT MINT TWIST MNT KS RCB 20_LEP</t>
  </si>
  <si>
    <t>L&amp;M FAST FORWARD Cities Edition-LEP</t>
  </si>
  <si>
    <t>L&amp;M Fast Forward Purple Cities Edition-LEP</t>
  </si>
  <si>
    <t>CHESTERFIELD FILTERSR KS BOS 20 + Printed Poly</t>
  </si>
  <si>
    <t>CHESTERFIELD FILTERSB KS BOS 20 + Printed Poly</t>
  </si>
  <si>
    <t>CHESTERFIELD MENTHOL GREEN KS BOS 20 + Printed Poly </t>
  </si>
  <si>
    <t>CHESTERFIELD MENTHOL GREEN KS BOS 20</t>
  </si>
  <si>
    <t>MARLBORO GOLD BLEND CHANGE</t>
  </si>
  <si>
    <t>NEXT FINE MNT KS RCB 20 - Firm Filter</t>
  </si>
  <si>
    <t>NEXT MNT KS RCB 20 - Firm Filter</t>
  </si>
  <si>
    <t>NEXT ORIGINAL KS RCB 20 - Firm Filter</t>
  </si>
  <si>
    <t>NEXT FINE KS RCB 20 - Firm Filter</t>
  </si>
  <si>
    <t>FA035342.14</t>
  </si>
  <si>
    <t>L&amp;M MENTHOL CAPSULE KS BOS 20+Printed Poly</t>
  </si>
  <si>
    <t>MARLBORO ICE BLAST MEGA MNT KS BOS 20 + POLYWRAP</t>
  </si>
  <si>
    <t>MARLBORO MENTHOL (2.0) MNT KS BOS 20 - MIS 1.0 to 1.3</t>
  </si>
  <si>
    <t>MARLBORO Red 2.5 KS BOX 20</t>
  </si>
  <si>
    <t>MARLBORO GOLD RCB 2.5 KS  20</t>
  </si>
  <si>
    <t>MARLBORO Black Menthol 2.0</t>
  </si>
  <si>
    <t>LONGBEACH FILTER KS BOX 20 (NEW BLEND)</t>
  </si>
  <si>
    <t xml:space="preserve">FA067382.00 </t>
  </si>
  <si>
    <t xml:space="preserve">MARLBORO RED 2.5 KS BOX 20 GHW SET B </t>
  </si>
  <si>
    <t>MARLBORO RED 2.5 KS BOX 20 LEP PRIF</t>
  </si>
  <si>
    <t>NEXT ORIGINAL KS RCB 20 - Blend Upgrade Phase 2  </t>
  </si>
  <si>
    <t>NEXT FINE KS RCB 20 - Blend Upgrade Phase 2</t>
  </si>
  <si>
    <t>L&amp;M BLUE LINE KS BOX 20 (Blend Upgrade)  </t>
  </si>
  <si>
    <t>MARLBORO GOLD RCB 2.5 KS BOX 20</t>
  </si>
  <si>
    <t>MARLBORO ICE BLAST MEGA (2.0) MNT KS BOS 20</t>
  </si>
  <si>
    <t>L&amp;M CHARCOAL FILTER KS BOS 20 Printed Poly</t>
  </si>
  <si>
    <t>L&amp;M (RED CAPSULE) KS BOS 20 Printed Poly</t>
  </si>
  <si>
    <t>L&amp;M MENTHOL CAPSULE MNT KS BOS 20 Printed Poly</t>
  </si>
  <si>
    <t>SINGAPOre</t>
  </si>
  <si>
    <t>NEXT MINT TWIST MNT KS RCB 20 + PRIF</t>
  </si>
  <si>
    <t>MARLBORO ADVANCE 2.5 KS BOS 20 – Printed Poly</t>
  </si>
  <si>
    <t>L&amp;M CHARCOAL-FILTER-CAPSULE KS BOS 20 + Polywrap Wave 2  </t>
  </si>
  <si>
    <t>MARLBORO ADVANCE BLUE (3.0) KS BOS 20 NEUTRAL</t>
  </si>
  <si>
    <t xml:space="preserve">MARLBORO (RED FWD) KS BOS 20 Printed Poly
</t>
  </si>
  <si>
    <t xml:space="preserve">L&amp;M (RED CAPSULE) KS BOS 20 Printed Poly
</t>
  </si>
  <si>
    <t xml:space="preserve">MARLBORO GOLD (2.5) KS BOS 20
</t>
  </si>
  <si>
    <t xml:space="preserve">MARLBORO ADVANCE SILVER 2.5 KS BOS – Permanent </t>
  </si>
  <si>
    <t>MARLBORO DOUBU2.5 MNT KS BOS 20 + Printed Poly</t>
  </si>
  <si>
    <t xml:space="preserve">L&amp;M MENTHOL CAPSULE MNT KS BOS 20
</t>
  </si>
  <si>
    <t>MARLBORO ICE BLAST (2.0) MNT KS  BOX 20_Printed Poly + PRIF</t>
  </si>
  <si>
    <t>L&amp;M RED KS BOX 25 Big Case</t>
  </si>
  <si>
    <t>L&amp;M BLUE KS BOX 25 Big Case</t>
  </si>
  <si>
    <t xml:space="preserve">MARLBORO ICE BLAST (2.0) MNT KS BOX 20
</t>
  </si>
  <si>
    <t xml:space="preserve">CHESTERFIELD BLUE (3.0 WC) KS BOX 20
</t>
  </si>
  <si>
    <t>MARLBORO PURPLE BURST MNT KS BOX 20 Printed Poly</t>
  </si>
  <si>
    <t>CHESTERFIELD BLUE KS BOX 23 Big Case</t>
  </si>
  <si>
    <t>PETER JACKSON VIRGINIA KS BOX 25 Smal Case</t>
  </si>
  <si>
    <t xml:space="preserve">PHILIP MORRIS CAPSULE MNT KS BOX 20
</t>
  </si>
  <si>
    <t>CHESTERFIELD RED KS BOX 23 Big Case</t>
  </si>
  <si>
    <t>CHESTERFIELD MENTHOL X MNT KS BOX 23 Big Case</t>
  </si>
  <si>
    <t>L&amp;M CHARCOAL-FILTER-CAPSULE KS BOS 20</t>
  </si>
  <si>
    <t xml:space="preserve">L&amp;M FILTER KS BOX 20
</t>
  </si>
  <si>
    <t>MARLBORO GOLD (2.5) KS BOS 20 Printed Poly</t>
  </si>
  <si>
    <t>MARLBORO WHITE MENTHOL MNT (2.0) KS BOS 20 DCW</t>
  </si>
  <si>
    <t>MARLBORO BLACK MENTHOL MNT KS BOS 20 DCW</t>
  </si>
  <si>
    <t xml:space="preserve">L&amp;M RED CAPSULE KS BOS 20  </t>
  </si>
  <si>
    <t>L&amp;M RED LINE KS BOX 20 (Firm Filter)  Printed + insert</t>
  </si>
  <si>
    <t>L&amp;M FAST FORWARD PURPLE KS RCB 20</t>
  </si>
  <si>
    <t>MARLBORO (RED FWD) KS BOS 20 Printed Poly</t>
  </si>
  <si>
    <t xml:space="preserve">NEXT MNT KS RCB 20  </t>
  </si>
  <si>
    <t xml:space="preserve">NEXT FINE MNT KS RCB 20 </t>
  </si>
  <si>
    <t>MARLBORO FLAVOR MIX (FWD) KS BOS 20 DCW  </t>
  </si>
  <si>
    <t>CHESTERFIELD FILTERSB KS BOS 20  </t>
  </si>
  <si>
    <t>MARLBORO DOUBU2.5 MNT KS BOS 20</t>
  </si>
  <si>
    <t>CHESTERFIELD MENTHOL KS RCB 20   (CLICLOK) POLY</t>
  </si>
  <si>
    <t>CHESTERFIELD CAPS PURPLE(3.0 CC) KS RCB 20   (CLICLOK) POLY</t>
  </si>
  <si>
    <t>CHESTERFIELD CAPS PURPLE 5mg  (3.0 CC) KS RCB 20    (CLICLOK) POLY</t>
  </si>
  <si>
    <t>CHESTERFIELD MINT BURST KS RCB 20 (CLICLOK) POLY</t>
  </si>
  <si>
    <t>CHESTERFIELD MINT BURST KS RCB 20   (CLICLOK) POLY</t>
  </si>
  <si>
    <t>CHESTERFIELD BLUE KS RCB 20   (CLICLOK) POLY</t>
  </si>
  <si>
    <t>HONG KONG DF - HK05</t>
  </si>
  <si>
    <t>MARLBORO RED 2.5 KS BOS 20 DCW</t>
  </si>
  <si>
    <t>MARLBORO GOLD ORIGINAL 2.0 KS BOS 20 DCW</t>
  </si>
  <si>
    <t>MARLBORO SILVER 2.0 KS BOS 20 DCW  </t>
  </si>
  <si>
    <t>MARLBORO WMENT2.0 MNT KS BOS 20 (Poly)</t>
  </si>
  <si>
    <t>L&amp;M GREEN LINE MNT KS BOX 20 (Firm Filter) Printed Poly</t>
  </si>
  <si>
    <t>L&amp;M BLUE LINE KS BOX 20 (Firm Filter)  Printed Poly</t>
  </si>
  <si>
    <t>L&amp;M FF 4.0 KS BOX 20 GHW (GHW#7 &amp; THW #4&amp;5)</t>
  </si>
  <si>
    <t>MARLBORO GOLD 2.5 KS BOX 20 GHW (GHW#4 THW#7&amp;8</t>
  </si>
  <si>
    <t>MARLBORO RED 2.5 KS BOX 20 GHW (GHW#1 THW#1&amp;2)  </t>
  </si>
  <si>
    <t>CHESTERFIELD RED KS RCB 20 (CLICLOK) POLY</t>
  </si>
  <si>
    <t>CHESTERFIELD Red KS Cliclok poly</t>
  </si>
  <si>
    <t>CHESTERFIELD CAPSPURP MNT KS RCB 20 Cliclok poly</t>
  </si>
  <si>
    <t>L&amp;M BLUE LINE KS BOX 20 Neutral</t>
  </si>
  <si>
    <t>MARLBORO RED 2.5 KS BOX 20 GHW (GHW#2 THW#3&amp;4)  </t>
  </si>
  <si>
    <t>L&amp;M RED LINE KS BOX 20 Neutral</t>
  </si>
  <si>
    <t>L&amp;M GREEN LINE MNT KS BOX 20 Neutral</t>
  </si>
  <si>
    <t>MOTOGP LEP MARLBORO GOLD (2.0 ORIGINAL) KS BOS 20  </t>
  </si>
  <si>
    <t>CHESTERFIELD FILTERSR (4.0) KS BOS 20</t>
  </si>
  <si>
    <t>CHESTERFIELD FILTERSB (4.0) KS BOS 20</t>
  </si>
  <si>
    <t>MARLBORO FLAVOR MIX (FWD) KS BOS 20 (LEP)</t>
  </si>
  <si>
    <t>NEXT ORIGINAL KS RCB 20 - Firm Filter Neutral</t>
  </si>
  <si>
    <t>NEXT FINE KS RCB 20 - Firm Filter  Neutral</t>
  </si>
  <si>
    <t>CHESTERFIELD Blue KS Cliclok poly</t>
  </si>
  <si>
    <t>CHESTERFIELD BLUE KS RCB 20 (CLICLOK) Neutral</t>
  </si>
  <si>
    <t>CHESTERFIELD MENTHOL GREEN (4.0) KS BOS 20</t>
  </si>
  <si>
    <t>MARLBORO GOLD 2.5 KS BOS 20 LEP</t>
  </si>
  <si>
    <t>MOTOGP LEP MARLBORO (RED FWD) KS BOS 20 - 2017</t>
  </si>
  <si>
    <t>L&amp;M RED LINE KS BOS 20 with printed poly</t>
  </si>
  <si>
    <t>L&amp;M GREEN LINE MNT KS BOS 20 with printed poly</t>
  </si>
  <si>
    <t>L&amp;M BLUE LINE KS BOS 20 with printed poly</t>
  </si>
  <si>
    <t>MARLBORO RED 2.5 KS BOX 20 GHW (GHW#3 THW#5&amp;6)  </t>
  </si>
  <si>
    <t>MARLBORO GOLD 2.5 KS BOX 20 GHW (GHW#5 THW#9&amp;1)</t>
  </si>
  <si>
    <t>NEXT FINE MNT KS RCB 20 Printed Poly 2</t>
  </si>
  <si>
    <t>NEXT ORIGINAL KS RCB 20 Printed Poly 2</t>
  </si>
  <si>
    <t>NEXT MNT KS RCB 20 Printed Poly 2</t>
  </si>
  <si>
    <t>NEXT FINE KS RCB 20 printed Poly 2</t>
  </si>
  <si>
    <t>ASIA PACIFIC DF - DP05</t>
  </si>
  <si>
    <t>Australia</t>
  </si>
  <si>
    <t>Cambodia</t>
  </si>
  <si>
    <t>Fiji</t>
  </si>
  <si>
    <t>HK DF DEPARTURE - DH05</t>
  </si>
  <si>
    <t>HK DF DEPARTURE - DH06</t>
  </si>
  <si>
    <t>Laos</t>
  </si>
  <si>
    <t>Macau</t>
  </si>
  <si>
    <t>Malaysia</t>
  </si>
  <si>
    <t>Malaysia DF</t>
  </si>
  <si>
    <t>FA058479.00 </t>
  </si>
  <si>
    <t>Maldives</t>
  </si>
  <si>
    <t>New Caledonia</t>
  </si>
  <si>
    <t>New Zealand</t>
  </si>
  <si>
    <t>Pacific Islands</t>
  </si>
  <si>
    <t>Papua New Guinea</t>
  </si>
  <si>
    <t>Singapore</t>
  </si>
  <si>
    <t>Taiwan</t>
  </si>
  <si>
    <t>Thailand</t>
  </si>
  <si>
    <t>Timor Leste</t>
  </si>
  <si>
    <t>Tonga</t>
  </si>
  <si>
    <t>Vanuatu</t>
  </si>
  <si>
    <t>MARLBORO SILVER (2.0) KS BOS 2</t>
  </si>
  <si>
    <t>MARLBORO GOLD ORIGINAL KS BOX 20 GHW SET A</t>
  </si>
  <si>
    <t>CHOICE CLASSIC (BLUE) KS BOX 25 small case</t>
  </si>
  <si>
    <t>MARLBORO RED 2.5 KS BOX 20 PRINTED POLY</t>
  </si>
  <si>
    <t>MARLBORO RED UPGRADE KS BOX 20</t>
  </si>
  <si>
    <t xml:space="preserve">CHESTERFIELD RED KS RCB 20  </t>
  </si>
  <si>
    <t>MARLBORO FLAVOR MIX KS BOS 20</t>
  </si>
  <si>
    <t>MARLBORO DOUBLE BLACK MNT KS BOS 2</t>
  </si>
  <si>
    <t xml:space="preserve">MARLBORO PURPLE BURST MNT KS BOS 20 </t>
  </si>
  <si>
    <t>MARLBORO (RED FWD) KS BOS 20duty Free</t>
  </si>
  <si>
    <t>MARLBORO GOLD (2.5) KS BOX 2</t>
  </si>
  <si>
    <t>CHESTERFIELD MINT BURST KS RCB 20</t>
  </si>
  <si>
    <t>MARLBORO GOLD ADVANCE MOTO GP KS RCB 20</t>
  </si>
  <si>
    <t>MARLBORO ICE BLAST2.0 MNT KS BOS 20</t>
  </si>
  <si>
    <t>MARLBORO DOUBU2.0 MNT KS BOX 20 UPGRADED Printed Poly + Insert</t>
  </si>
  <si>
    <t>L&amp;M RED LABEL ( DUTY FREE ) KS BOX 20</t>
  </si>
  <si>
    <t>MARLBORO GOLD 2.0 KS BOX 20 ‐ DF (DC outer) Duty Free</t>
  </si>
  <si>
    <t>CHESTERFIELD VIRGINIA KS BOX 20</t>
  </si>
  <si>
    <t>MARLBORO MINT CAPSULE MNT KS BOS 20 Duty Free</t>
  </si>
  <si>
    <t>MARLBORO GOLD (2.5) KS BOX 25 Small Case</t>
  </si>
  <si>
    <t>PETER JACKSON PAPUA NG KS BOX 20</t>
  </si>
  <si>
    <t>MARLBORO BLACK MENTHOL (2.0) KS BOS 20</t>
  </si>
  <si>
    <t>MARLBORO PURPLE BURST MNT KS BOS 20 printed poly</t>
  </si>
  <si>
    <t>L&amp;M FAST FORWARD MNT KS BOX 20 - Cities Edition LEP</t>
  </si>
  <si>
    <t xml:space="preserve">L&amp;M FAST FORWARD MNT KS BOX 20
</t>
  </si>
  <si>
    <t>L&amp;M FAST FORWARD MNT KS BOS 20 with printed poly</t>
  </si>
  <si>
    <t>MARLBORO RED SOF KS BOX 20</t>
  </si>
  <si>
    <t>Indonesia Domestik</t>
  </si>
  <si>
    <t>FA065674.01</t>
  </si>
  <si>
    <t>FA065675.01</t>
  </si>
  <si>
    <t>FA065676.01</t>
  </si>
  <si>
    <t>FA065677.01</t>
  </si>
  <si>
    <t>FA065678.01</t>
  </si>
  <si>
    <t>FA065707.01</t>
  </si>
  <si>
    <t>FA065708.01</t>
  </si>
  <si>
    <t>FA065709.01</t>
  </si>
  <si>
    <t>FA065710.01</t>
  </si>
  <si>
    <t>FA065711.01</t>
  </si>
  <si>
    <t>FA065961.01</t>
  </si>
  <si>
    <t>FA065963.01</t>
  </si>
  <si>
    <t>FA065964.01</t>
  </si>
  <si>
    <t>FA065965.01</t>
  </si>
  <si>
    <t>FA068947.01</t>
  </si>
  <si>
    <t>FA068995.01</t>
  </si>
  <si>
    <t>FA069056.00</t>
  </si>
  <si>
    <t>FA069057.00</t>
  </si>
  <si>
    <t>FA069060.00</t>
  </si>
  <si>
    <t>FA069061.00</t>
  </si>
  <si>
    <t>FA069109.01</t>
  </si>
  <si>
    <t>FA069112.01</t>
  </si>
  <si>
    <t>FA052294.07</t>
  </si>
  <si>
    <t>FA068532.02</t>
  </si>
  <si>
    <t>FA069391.00</t>
  </si>
  <si>
    <t>FA069391.01</t>
  </si>
  <si>
    <t>FA069394.00</t>
  </si>
  <si>
    <t>FA069890.00</t>
  </si>
  <si>
    <t>FA069891.00</t>
  </si>
  <si>
    <t>FA069904.00</t>
  </si>
  <si>
    <t>FA069905.00</t>
  </si>
  <si>
    <t>FA069907.00</t>
  </si>
  <si>
    <t>FA069908.00</t>
  </si>
  <si>
    <t>FA069949.00</t>
  </si>
  <si>
    <t>L&amp;M FAST FORWARD PURPLE BOS 20 with printed poly</t>
  </si>
  <si>
    <t>CHESTERFIELD RED KS RCB 20 (CLICLOK)</t>
  </si>
  <si>
    <t>CHESTERFIELD CAPS PURPLE(3.0 CC) KS RCB 20 (CLICLOK)</t>
  </si>
  <si>
    <t>CHESTERFIELD PURPLE CAPS 5 RCB KS 20 (CLICLOK)</t>
  </si>
  <si>
    <t>CHESTERFIELD MINT BURST KS RCB 20 (CLICLOK)</t>
  </si>
  <si>
    <t>MARLBORO (RED FWD) KS BOS 20 (POLY) - Wave 4</t>
  </si>
  <si>
    <t>MARLBORO GOLD (2.5) KS BOS 20 (POLY) - Wave 4</t>
  </si>
  <si>
    <t>MARLBORO BLUEFIRM KS BOX 25 Small Case</t>
  </si>
  <si>
    <t>CHESTERFIELD MENTHOL KS RCB 20 (CLICLOK)</t>
  </si>
  <si>
    <t>LONGBEACH SELECT WHITE FIRM FILTER KS BOX 40 GHW B TML ID</t>
  </si>
  <si>
    <t>LONGBEACH FILTER RED FIRM FILTER KS BOX 40 GHW B TML ID</t>
  </si>
  <si>
    <t>BOND STREET RED KS BOX 25 GHW B TML ID Small Case</t>
  </si>
  <si>
    <t>BOND STREET BLUE KS BOX 25 GHW B TML ID Small Case</t>
  </si>
  <si>
    <t>PETER JACKSON HYBRIDGO KS BOX 25 Small Case</t>
  </si>
  <si>
    <t xml:space="preserve">L&amp;M FRESH MNT KS BOS 20
</t>
  </si>
  <si>
    <t>FA058683.03</t>
  </si>
  <si>
    <t>FA062328.01</t>
  </si>
  <si>
    <t>FA067358.01</t>
  </si>
  <si>
    <t>FA068559.01</t>
  </si>
  <si>
    <t>FA068561.01</t>
  </si>
  <si>
    <t>FA069523.01</t>
  </si>
  <si>
    <t>FA069906.00</t>
  </si>
  <si>
    <t>FA070095.00</t>
  </si>
  <si>
    <t>FA041576.12</t>
  </si>
  <si>
    <t>FA041577.12</t>
  </si>
  <si>
    <t>FA041900.08</t>
  </si>
  <si>
    <t>FA041901.08</t>
  </si>
  <si>
    <t>FA041902.08</t>
  </si>
  <si>
    <t>FA045277.08</t>
  </si>
  <si>
    <t>FA052305.03</t>
  </si>
  <si>
    <t>FA055170.05</t>
  </si>
  <si>
    <t>FA055172.06</t>
  </si>
  <si>
    <t>FA055175.05</t>
  </si>
  <si>
    <t>FA063465.03</t>
  </si>
  <si>
    <t>FA063466.03</t>
  </si>
  <si>
    <t>FA063467.03</t>
  </si>
  <si>
    <t>FA065601.03</t>
  </si>
  <si>
    <t>FA066283.03</t>
  </si>
  <si>
    <t>FA066284.03</t>
  </si>
  <si>
    <t>FA066285.03</t>
  </si>
  <si>
    <t>FA066286.03</t>
  </si>
  <si>
    <t>FA068552.01</t>
  </si>
  <si>
    <t>FA068554.01</t>
  </si>
  <si>
    <t>FA068555.01</t>
  </si>
  <si>
    <t>FA069208.01</t>
  </si>
  <si>
    <t>FA069283.00</t>
  </si>
  <si>
    <t>FA069349.00</t>
  </si>
  <si>
    <t>FA069574.02</t>
  </si>
  <si>
    <t>FA069578.02</t>
  </si>
  <si>
    <t>FA069726.00</t>
  </si>
  <si>
    <t>FA069727.00</t>
  </si>
  <si>
    <t>FA069728.00</t>
  </si>
  <si>
    <t>FA069729.00</t>
  </si>
  <si>
    <t>FA069730.00</t>
  </si>
  <si>
    <t>FA069731.00</t>
  </si>
  <si>
    <t>FA069884.00</t>
  </si>
  <si>
    <t>FA070096.00</t>
  </si>
  <si>
    <t>FA070184.00</t>
  </si>
  <si>
    <t>ZD11</t>
  </si>
  <si>
    <t>1000</t>
  </si>
  <si>
    <t>1021</t>
  </si>
  <si>
    <t>FA014050.13</t>
  </si>
  <si>
    <t>FA014050.14</t>
  </si>
  <si>
    <t>FA021750.12</t>
  </si>
  <si>
    <t>FA021750.13</t>
  </si>
  <si>
    <t>FA046178.02</t>
  </si>
  <si>
    <t>FA046178.03</t>
  </si>
  <si>
    <t>FA046934.06</t>
  </si>
  <si>
    <t>FA046935.06</t>
  </si>
  <si>
    <t>FA051511.04</t>
  </si>
  <si>
    <t>FA051511.05</t>
  </si>
  <si>
    <t>FA051512.04</t>
  </si>
  <si>
    <t>FA051512.05</t>
  </si>
  <si>
    <t>FA052305.04</t>
  </si>
  <si>
    <t>FA053466.02</t>
  </si>
  <si>
    <t>FA053466.03</t>
  </si>
  <si>
    <t>FA056662.01</t>
  </si>
  <si>
    <t>FA056664.01</t>
  </si>
  <si>
    <t>FA058332.03</t>
  </si>
  <si>
    <t>FA058333.03</t>
  </si>
  <si>
    <t>FA058334.02</t>
  </si>
  <si>
    <t>FA059213.03</t>
  </si>
  <si>
    <t>FA059214.03</t>
  </si>
  <si>
    <t>FA059224.03</t>
  </si>
  <si>
    <t>FA059227.04</t>
  </si>
  <si>
    <t>FA059228.04</t>
  </si>
  <si>
    <t>FA059358.04</t>
  </si>
  <si>
    <t>FA059491.03</t>
  </si>
  <si>
    <t>FA059495.03</t>
  </si>
  <si>
    <t>FA059500.03</t>
  </si>
  <si>
    <t>FA059503.03</t>
  </si>
  <si>
    <t>FA061712.02</t>
  </si>
  <si>
    <t>FA064546.01</t>
  </si>
  <si>
    <t>FA065613.02</t>
  </si>
  <si>
    <t>FA065613.03</t>
  </si>
  <si>
    <t>FA065614.02</t>
  </si>
  <si>
    <t>FA065614.03</t>
  </si>
  <si>
    <t>FA066031.03</t>
  </si>
  <si>
    <t>FA066035.03</t>
  </si>
  <si>
    <t>FA066036.03</t>
  </si>
  <si>
    <t>FA066037.03</t>
  </si>
  <si>
    <t>FA067019.00</t>
  </si>
  <si>
    <t>FA067442.01</t>
  </si>
  <si>
    <t>FA068547.00</t>
  </si>
  <si>
    <t>FA068625.03</t>
  </si>
  <si>
    <t>FA068626.03</t>
  </si>
  <si>
    <t>FA068911.01</t>
  </si>
  <si>
    <t>FA068915.00</t>
  </si>
  <si>
    <t>FA069019.00</t>
  </si>
  <si>
    <t>FA069027.00</t>
  </si>
  <si>
    <t>FA069305.00</t>
  </si>
  <si>
    <t>FA069705.01</t>
  </si>
  <si>
    <t>FA069726.01</t>
  </si>
  <si>
    <t>FA069727.01</t>
  </si>
  <si>
    <t>FA069728.01</t>
  </si>
  <si>
    <t>FA069729.01</t>
  </si>
  <si>
    <t>FA069730.01</t>
  </si>
  <si>
    <t>FA069731.01</t>
  </si>
  <si>
    <t>FA069796.00</t>
  </si>
  <si>
    <t>FA069797.00</t>
  </si>
  <si>
    <t>FA069798.00</t>
  </si>
  <si>
    <t>Batch</t>
  </si>
  <si>
    <t>PI-2017028</t>
  </si>
  <si>
    <t>FA057794.03</t>
  </si>
  <si>
    <t>FA063545.01</t>
  </si>
  <si>
    <t xml:space="preserve">FA055169.04 </t>
  </si>
  <si>
    <t>FA057593.03</t>
  </si>
  <si>
    <t>FA069173.00</t>
  </si>
  <si>
    <t>FA068899.00</t>
  </si>
  <si>
    <t>FA069026.00</t>
  </si>
  <si>
    <t>FA056435.02</t>
  </si>
  <si>
    <t>FA056650.01</t>
  </si>
  <si>
    <t>FA062686.01</t>
  </si>
  <si>
    <t>FA057076.01</t>
  </si>
  <si>
    <t>FA062687.01</t>
  </si>
  <si>
    <t>FA023422.04</t>
  </si>
  <si>
    <t>FA069011.00</t>
  </si>
  <si>
    <t>FA069012.00</t>
  </si>
  <si>
    <t>FA050503.02</t>
  </si>
  <si>
    <t>FA061110.01</t>
  </si>
  <si>
    <t>FA061111.01</t>
  </si>
  <si>
    <t>FA063602.02</t>
  </si>
  <si>
    <t>FA052266.03</t>
  </si>
  <si>
    <t>FA052227.02</t>
  </si>
  <si>
    <t>FA058078.03</t>
  </si>
  <si>
    <t>FA061713.02</t>
  </si>
  <si>
    <t>FA052228.02</t>
  </si>
  <si>
    <t>FA055529.01</t>
  </si>
  <si>
    <t>FA052229.01</t>
  </si>
  <si>
    <t>FA052230.01</t>
  </si>
  <si>
    <t>FA052231.01</t>
  </si>
  <si>
    <t>FA067382.04</t>
  </si>
  <si>
    <t>CHINA DF - CN05</t>
  </si>
  <si>
    <t>PHILLIPINES DF - PH05</t>
  </si>
  <si>
    <t>TAIWAN DF - TW05</t>
  </si>
  <si>
    <t>MACAU DF - MO05</t>
  </si>
  <si>
    <t>PAPUA</t>
  </si>
  <si>
    <t>FA068715.01</t>
  </si>
  <si>
    <t>Total Stock</t>
  </si>
  <si>
    <t>KOREA DF - KR05</t>
  </si>
  <si>
    <t>CURACAO</t>
  </si>
  <si>
    <t>ARUBA</t>
  </si>
  <si>
    <t>FA052570.09</t>
  </si>
  <si>
    <t>FA052576.10</t>
  </si>
  <si>
    <t>FA052570.05</t>
  </si>
  <si>
    <t>FA052572.10</t>
  </si>
  <si>
    <t>FA052575.10</t>
  </si>
  <si>
    <t>FA055169.04</t>
  </si>
  <si>
    <t>Grand Total</t>
  </si>
  <si>
    <t>Sum of Unrestricted</t>
  </si>
  <si>
    <t>Sum of In Quality Insp.</t>
  </si>
  <si>
    <t>Sum of Blocked</t>
  </si>
  <si>
    <t>week</t>
  </si>
  <si>
    <t>5020</t>
  </si>
  <si>
    <t>FA058682.03</t>
  </si>
  <si>
    <t>FA058684.03</t>
  </si>
  <si>
    <t>2080</t>
  </si>
  <si>
    <t>MARLBORO SILVER BLUE (3.0) KS BOS 20</t>
  </si>
  <si>
    <t>FA067382.05</t>
  </si>
  <si>
    <t>MARLBORO (GOLD 3.0) KS BOS 20</t>
  </si>
  <si>
    <t>FA069705.02</t>
  </si>
  <si>
    <t>LONGBEACH YELLOW KS BOX 25</t>
  </si>
  <si>
    <t>PETER JACKSON HYBRIDGO KS BOX 25</t>
  </si>
  <si>
    <t>MARLBORO SILVER (2.0) KS BOS 20</t>
  </si>
  <si>
    <t>FA069740.00</t>
  </si>
  <si>
    <t>MARLBORO GOLD (3.0 ORIGINAL) KS RCB 20</t>
  </si>
  <si>
    <t>FA069748.00</t>
  </si>
  <si>
    <t>MARLBORO ICE BURST MNT KS BOX 20</t>
  </si>
  <si>
    <t>Year</t>
  </si>
  <si>
    <t>002</t>
  </si>
  <si>
    <t>PI-2018</t>
  </si>
  <si>
    <t>Warehouse</t>
  </si>
  <si>
    <t>Lot 17</t>
  </si>
  <si>
    <t>Lot 41</t>
  </si>
  <si>
    <t>MARLBORO WMENT2.0 MNT KS BOX 20</t>
  </si>
  <si>
    <t>FA052576.11</t>
  </si>
  <si>
    <t>MARLBORO RED 2.0 KS BOX 20</t>
  </si>
  <si>
    <t>FA070106.00</t>
  </si>
  <si>
    <t>CS</t>
  </si>
  <si>
    <t>FA069748.01</t>
  </si>
  <si>
    <t>MARLBORO (GOLD 3.0) KS RCB 20</t>
  </si>
  <si>
    <t>MARLBORO MINT CAPSULE MNT KS BOS 20</t>
  </si>
  <si>
    <t>FA066106.02</t>
  </si>
  <si>
    <t>FA057909.06</t>
  </si>
  <si>
    <t>LONGBEACH YELLOW KS BOX 20</t>
  </si>
  <si>
    <t>FA069739.00</t>
  </si>
  <si>
    <t>CHOICE BLUE KS BOX 20</t>
  </si>
  <si>
    <t>PARLIAMENT NIGHT BLUE KS RCB 20</t>
  </si>
  <si>
    <t>FA068715.03</t>
  </si>
  <si>
    <t>L&amp;M BLUE LABEL (4.0) KS RCB 20</t>
  </si>
  <si>
    <t>MARLBORO SILVER (2.0) KS RCB 20</t>
  </si>
  <si>
    <t>FA069176.01</t>
  </si>
  <si>
    <t>FA069177.01</t>
  </si>
  <si>
    <t>LONGBEACH RED KS BOX 25</t>
  </si>
  <si>
    <t>MARLBORO (RED 2.5) KS BOX 20</t>
  </si>
  <si>
    <t>FA070570.00</t>
  </si>
  <si>
    <t>FA069752.01</t>
  </si>
  <si>
    <t>FA067722.02</t>
  </si>
  <si>
    <t>FA030184.05</t>
  </si>
  <si>
    <t>MARLBORO CRISP MINT (2.0) MNT KS BOX 20</t>
  </si>
  <si>
    <t>FA069493.00</t>
  </si>
  <si>
    <t>LONGBEACH RICH BLUE FRM KS BOX 20</t>
  </si>
  <si>
    <t>LONGBEACH ORIGINAL YELLOW FRM KS BOX 30</t>
  </si>
  <si>
    <t>FA068230.03</t>
  </si>
  <si>
    <t>FA069494.00</t>
  </si>
  <si>
    <t>FA069713.00</t>
  </si>
  <si>
    <t>FA069748.02</t>
  </si>
  <si>
    <t>FA070569.00</t>
  </si>
  <si>
    <t>FA052576.12</t>
  </si>
  <si>
    <t>LONGBEACH RICH BLUE FRM KS BOX 30</t>
  </si>
  <si>
    <t>MARLBORO PURPLE MNT KS BOX 20</t>
  </si>
  <si>
    <t>MARLBORO AMBER MNT KS BOX 20</t>
  </si>
  <si>
    <t>FA070764.00</t>
  </si>
  <si>
    <t>MARLBORO ICE BLAST MEGA 5 MNT KS BOS 20</t>
  </si>
  <si>
    <t>FA070106.01</t>
  </si>
  <si>
    <t>FA070571.00</t>
  </si>
  <si>
    <t>MARLBORO GOLD (2.0) KS BOS 20</t>
  </si>
  <si>
    <t>FA068715.04</t>
  </si>
  <si>
    <t>FA069726.02</t>
  </si>
  <si>
    <t>LONGBEACH RED KS BOX 20</t>
  </si>
  <si>
    <t>FA069734.00</t>
  </si>
  <si>
    <t>FA070528.00</t>
  </si>
  <si>
    <t>FA065613.04</t>
  </si>
  <si>
    <t>FA068913.01</t>
  </si>
  <si>
    <t>FA069733.00</t>
  </si>
  <si>
    <t>FA069736.00</t>
  </si>
  <si>
    <t>FA065614.04</t>
  </si>
  <si>
    <t>CHOICE GREEN MNT KS BOX 20</t>
  </si>
  <si>
    <t>FA069728.02</t>
  </si>
  <si>
    <t>FA069730.02</t>
  </si>
  <si>
    <t>CHOICE RED KS BOX 20</t>
  </si>
  <si>
    <t>FA051015.04</t>
  </si>
  <si>
    <t>FA070765.00</t>
  </si>
  <si>
    <t>FA052305.05</t>
  </si>
  <si>
    <t>FA070763.00</t>
  </si>
  <si>
    <t>FA069705.03</t>
  </si>
  <si>
    <t>LARK LIGHT KS RCB 20</t>
  </si>
  <si>
    <t>FA058598.05</t>
  </si>
  <si>
    <t>BOND STREET MENTHOL MNT KS BOX 40</t>
  </si>
  <si>
    <t>3090</t>
  </si>
  <si>
    <t>FA058332.04</t>
  </si>
  <si>
    <t>FA070939.00</t>
  </si>
  <si>
    <t>FA070940.00</t>
  </si>
  <si>
    <t>FA058333.04</t>
  </si>
  <si>
    <t>MARLBORO ICE BLAST MEGA 1 MNT KS BOS 20</t>
  </si>
  <si>
    <t>PETER JACKSON ORIBLFRM KS BOX 20</t>
  </si>
  <si>
    <t>MARLBORO (RED 2.5) KS BOX 25</t>
  </si>
  <si>
    <t>MARLBORO SPLASH MEGA MNT KS BOS 20</t>
  </si>
  <si>
    <t>FA054782.02</t>
  </si>
  <si>
    <t>LONGBEACH FINE SILVER FRM KS BOX 40</t>
  </si>
  <si>
    <t>FA069391.02</t>
  </si>
  <si>
    <t>MARLBORO (RED FWD) KS BOX 25</t>
  </si>
  <si>
    <t>PI-2018018</t>
  </si>
  <si>
    <t>BOND STREET BLUE KS BOX 25</t>
  </si>
  <si>
    <t>FA057987.03</t>
  </si>
  <si>
    <t>LONGBEACH MEGREFRM MNT KS BOX 30</t>
  </si>
  <si>
    <t>FA069745.00</t>
  </si>
  <si>
    <t>FA070554.00</t>
  </si>
  <si>
    <t>MARLBORO ICE BLAST MEGA 8 MNT KS BOS 20</t>
  </si>
  <si>
    <t>FA070230.00</t>
  </si>
  <si>
    <t>FA068901.02</t>
  </si>
  <si>
    <t>FA054781.04</t>
  </si>
  <si>
    <t>FA057593.04</t>
  </si>
  <si>
    <t>FA068887.02</t>
  </si>
  <si>
    <t>FA070475.00</t>
  </si>
  <si>
    <t>PETER JACKSON RICH GOLD FRM KS BOX 30</t>
  </si>
  <si>
    <t>FA069743.00</t>
  </si>
  <si>
    <t>FA066106.01</t>
  </si>
  <si>
    <t>LONGBEACH ORIGINAL YELLOW FRM KS BOX 20</t>
  </si>
  <si>
    <t>PETER JACKSON FINE SILVER FRM KS BOX 30</t>
  </si>
  <si>
    <t>LONGBEACH MEGREFRM MNT KS BOX 40</t>
  </si>
  <si>
    <t>FA059542.02</t>
  </si>
  <si>
    <t>FA059543.02</t>
  </si>
  <si>
    <t>L&amp;M RED LABEL KS RCB 20</t>
  </si>
  <si>
    <t>FA069497.00</t>
  </si>
  <si>
    <t>CHOICE BLONDE KS BOX 20</t>
  </si>
  <si>
    <t>FA069727.02</t>
  </si>
  <si>
    <t>FA070918.00</t>
  </si>
  <si>
    <t>FA070937.00</t>
  </si>
  <si>
    <t>FA053058.03</t>
  </si>
  <si>
    <t>FA060645.02</t>
  </si>
  <si>
    <t>FA069713.01</t>
  </si>
  <si>
    <t>5555</t>
  </si>
  <si>
    <t>FA058543.02</t>
  </si>
  <si>
    <t>FA059541.03</t>
  </si>
  <si>
    <t>FA070322.00</t>
  </si>
  <si>
    <t>FA054780.05</t>
  </si>
  <si>
    <t>FA058334.03</t>
  </si>
  <si>
    <t>LONGBEACH MENFRFRM MNT KS BOX 40</t>
  </si>
  <si>
    <t>FA059624.02</t>
  </si>
  <si>
    <t>FA060655.03</t>
  </si>
  <si>
    <t>FA067349.00</t>
  </si>
  <si>
    <t>L&amp;M EXTRA MENTHOL MNT KS BOS 20</t>
  </si>
  <si>
    <t>CHESTERFIELD MENTPUR4 MNT KS BOS 20</t>
  </si>
  <si>
    <t>FA068532.03</t>
  </si>
  <si>
    <t>PARLIAMENT AQUA BLUE KS RCB 20</t>
  </si>
  <si>
    <t>FA057796.04</t>
  </si>
  <si>
    <t>FA052294.08</t>
  </si>
  <si>
    <t>LONGBEACH FINE SILVER FRM KS BOX 30</t>
  </si>
  <si>
    <t>FA068015.02</t>
  </si>
  <si>
    <t>CHESTERFIELD CHARCOAL (BLUE) KS BOS 20</t>
  </si>
  <si>
    <t>FA069729.02</t>
  </si>
  <si>
    <t>FA057988.04</t>
  </si>
  <si>
    <t>PETER JACKSON ORIBLFRM KS BOX 30</t>
  </si>
  <si>
    <t>FA069733.01</t>
  </si>
  <si>
    <t>BOND STREET RED KS BOX 30</t>
  </si>
  <si>
    <t>HONG KONG DF - DH05</t>
  </si>
  <si>
    <t>PAPUA NEW GUINEA</t>
  </si>
  <si>
    <t>PETER JACKSON SUPWHFRM KS BOX 30</t>
  </si>
  <si>
    <t>CHESTERFIELD FILTER (RED 4.0) KS BOS 20</t>
  </si>
  <si>
    <t>BOND STREET GOLD KS BOX 20</t>
  </si>
  <si>
    <t>L&amp;M BLUE LINE KS BOS 20</t>
  </si>
  <si>
    <t>FA068943.00</t>
  </si>
  <si>
    <t>L&amp;M BLUE LABEL KS RCB 20</t>
  </si>
  <si>
    <t>MARLBORO GOLD ADVANCE KS RCB 20</t>
  </si>
  <si>
    <t>BOND STREET RED KS BOX 20</t>
  </si>
  <si>
    <t>FA051521.04</t>
  </si>
  <si>
    <t>FA059500.06</t>
  </si>
  <si>
    <t>BOND STREET BLUE KS BOX 20</t>
  </si>
  <si>
    <t>PETER JACKSON VIRGINIA RED FRM KS BOX 30</t>
  </si>
  <si>
    <t>FA059227.06</t>
  </si>
  <si>
    <t>FA066283.04</t>
  </si>
  <si>
    <t>FA066284.04</t>
  </si>
  <si>
    <t>BOND STREET BLUE KS BOX 30</t>
  </si>
  <si>
    <t>(blank)</t>
  </si>
  <si>
    <t>Values</t>
  </si>
  <si>
    <t>009</t>
  </si>
  <si>
    <t>014</t>
  </si>
  <si>
    <t>017</t>
  </si>
  <si>
    <t>023</t>
  </si>
  <si>
    <t>020</t>
  </si>
  <si>
    <t>021</t>
  </si>
  <si>
    <t>022</t>
  </si>
  <si>
    <t>Sum of Total Stock</t>
  </si>
  <si>
    <t>rumus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</si>
</sst>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0"/>
  </numFmts>
  <fonts count="10" x14ac:knownFonts="1">
    <font>
      <sz val="10"/>
      <name val="Arial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0"/>
      <color theme="4" tint="-0.249977111117893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3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1"/>
    </xf>
    <xf numFmtId="0" fontId="0" fillId="2" borderId="1" xfId="0" applyFill="1" applyBorder="1" applyAlignment="1">
      <alignment vertical="top" wrapText="1"/>
    </xf>
    <xf numFmtId="0" fontId="1" fillId="3" borderId="0" xfId="0" applyFont="1" applyFill="1" applyAlignment="1">
      <alignment vertical="top"/>
    </xf>
    <xf numFmtId="0" fontId="2" fillId="6" borderId="2" xfId="0" applyFont="1" applyFill="1" applyBorder="1"/>
    <xf numFmtId="0" fontId="2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justify"/>
    </xf>
    <xf numFmtId="0" fontId="4" fillId="4" borderId="2" xfId="0" applyFont="1" applyFill="1" applyBorder="1" applyAlignment="1">
      <alignment vertical="center"/>
    </xf>
    <xf numFmtId="0" fontId="4" fillId="4" borderId="2" xfId="0" applyNumberFormat="1" applyFont="1" applyFill="1" applyBorder="1" applyAlignment="1">
      <alignment vertical="center"/>
    </xf>
    <xf numFmtId="0" fontId="3" fillId="0" borderId="0" xfId="0" applyFont="1" applyAlignment="1">
      <alignment vertical="top"/>
    </xf>
    <xf numFmtId="0" fontId="5" fillId="0" borderId="2" xfId="0" applyNumberFormat="1" applyFont="1" applyBorder="1"/>
    <xf numFmtId="0" fontId="6" fillId="0" borderId="2" xfId="0" applyNumberFormat="1" applyFont="1" applyBorder="1"/>
    <xf numFmtId="0" fontId="0" fillId="0" borderId="2" xfId="0" applyNumberFormat="1" applyBorder="1"/>
    <xf numFmtId="0" fontId="6" fillId="6" borderId="2" xfId="0" applyNumberFormat="1" applyFont="1" applyFill="1" applyBorder="1"/>
    <xf numFmtId="0" fontId="0" fillId="6" borderId="2" xfId="0" applyNumberFormat="1" applyFill="1" applyBorder="1"/>
    <xf numFmtId="0" fontId="6" fillId="0" borderId="0" xfId="0" applyNumberFormat="1" applyFont="1"/>
    <xf numFmtId="0" fontId="0" fillId="0" borderId="0" xfId="0" applyNumberFormat="1"/>
    <xf numFmtId="0" fontId="6" fillId="0" borderId="0" xfId="0" applyFont="1"/>
    <xf numFmtId="0" fontId="6" fillId="5" borderId="2" xfId="0" quotePrefix="1" applyFont="1" applyFill="1" applyBorder="1"/>
    <xf numFmtId="0" fontId="6" fillId="6" borderId="2" xfId="0" quotePrefix="1" applyFont="1" applyFill="1" applyBorder="1"/>
    <xf numFmtId="0" fontId="7" fillId="0" borderId="2" xfId="0" applyFont="1" applyBorder="1"/>
    <xf numFmtId="0" fontId="6" fillId="0" borderId="2" xfId="0" applyFont="1" applyBorder="1"/>
    <xf numFmtId="0" fontId="6" fillId="6" borderId="2" xfId="0" applyFont="1" applyFill="1" applyBorder="1"/>
    <xf numFmtId="0" fontId="0" fillId="6" borderId="2" xfId="0" applyFill="1" applyBorder="1"/>
    <xf numFmtId="0" fontId="0" fillId="0" borderId="0" xfId="0"/>
    <xf numFmtId="0" fontId="1" fillId="0" borderId="0" xfId="0" applyFont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0" borderId="0" xfId="0" pivotButton="1" applyAlignment="1">
      <alignment vertical="top"/>
    </xf>
    <xf numFmtId="0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0" fillId="2" borderId="3" xfId="0" applyFill="1" applyBorder="1" applyAlignment="1">
      <alignment vertical="top"/>
    </xf>
    <xf numFmtId="43" fontId="9" fillId="0" borderId="0" xfId="1" applyFont="1" applyAlignment="1">
      <alignment vertical="top"/>
    </xf>
    <xf numFmtId="0" fontId="1" fillId="2" borderId="3" xfId="0" applyFont="1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3" fontId="0" fillId="0" borderId="0" xfId="1" applyFont="1" applyAlignment="1">
      <alignment vertical="top"/>
    </xf>
    <xf numFmtId="0" fontId="0" fillId="0" borderId="0" xfId="0" quotePrefix="1" applyAlignment="1">
      <alignment vertical="top"/>
    </xf>
  </cellXfs>
  <cellStyles count="2">
    <cellStyle name="Comma" xfId="1" builtinId="3"/>
    <cellStyle name="Normal" xfId="0" builtinId="0"/>
  </cellStyles>
  <dxfs count="26">
    <dxf>
      <numFmt numFmtId="164" formatCode="#,##0.000"/>
      <alignment horizontal="right" vertical="top" textRotation="0" wrapText="0" indent="0" justifyLastLine="0" shrinkToFit="0" readingOrder="0"/>
    </dxf>
    <dxf>
      <numFmt numFmtId="164" formatCode="#,##0.000"/>
      <alignment horizontal="right" vertical="top" textRotation="0" wrapText="0" indent="0" justifyLastLine="0" shrinkToFit="0" readingOrder="0"/>
    </dxf>
    <dxf>
      <numFmt numFmtId="164" formatCode="#,##0.000"/>
      <alignment horizontal="right" vertical="top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alignment horizontal="general" vertical="top" textRotation="0" wrapText="0" indent="1" justifyLastLine="0" shrinkToFit="0" readingOrder="0"/>
    </dxf>
    <dxf>
      <alignment horizontal="right" vertical="top" textRotation="0" wrapText="0" indent="0" justifyLastLine="0" shrinkToFit="0" readingOrder="0"/>
    </dxf>
    <dxf>
      <fill>
        <patternFill patternType="solid">
          <fgColor indexed="64"/>
          <bgColor indexed="2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har, Michael Ridwan" refreshedDate="43282.626351967592" createdVersion="5" refreshedVersion="5" minRefreshableVersion="3" recordCount="720" xr:uid="{00000000-000A-0000-FFFF-FFFF00000000}">
  <cacheSource type="worksheet">
    <worksheetSource name="Table1"/>
  </cacheSource>
  <cacheFields count="15">
    <cacheField name="Exception" numFmtId="0">
      <sharedItems containsBlank="1"/>
    </cacheField>
    <cacheField name="Material" numFmtId="0">
      <sharedItems containsBlank="1" count="280">
        <s v="FA030173.03"/>
        <s v="FA030174.04"/>
        <s v="FA030184.05"/>
        <s v="FA030186.04"/>
        <s v="FA030187.05"/>
        <s v="FA041576.09"/>
        <s v="FA041577.12"/>
        <s v="FA041900.08"/>
        <s v="FA041901.08"/>
        <s v="FA041902.08"/>
        <s v="FA041989.00"/>
        <s v="FA043050.03"/>
        <s v="FA045277.08"/>
        <s v="FA046934.04"/>
        <s v="FA046935.04"/>
        <s v="FA048435.02"/>
        <s v="FA048847.00"/>
        <s v="FA050229.06"/>
        <s v="FA050230.06"/>
        <s v="FA050231.06"/>
        <s v="FA050603.07"/>
        <s v="FA050604.07"/>
        <s v="FA050606.07"/>
        <s v="FA050855.01"/>
        <s v="FA051015.02"/>
        <s v="FA051015.04"/>
        <s v="FA051122.00"/>
        <s v="FA051521.04"/>
        <s v="FA052227.02"/>
        <s v="FA052228.02"/>
        <s v="FA052294.08"/>
        <s v="FA052305.05"/>
        <s v="FA052576.10"/>
        <s v="FA052576.11"/>
        <s v="FA052576.12"/>
        <s v="FA053925.02"/>
        <s v="FA054780.03"/>
        <s v="FA054780.05"/>
        <s v="FA054781.03"/>
        <s v="FA054781.04"/>
        <s v="FA054782.02"/>
        <s v="FA054783.01"/>
        <s v="FA055170.05"/>
        <s v="FA055172.06"/>
        <s v="FA055531.02"/>
        <s v="FA055624.06"/>
        <s v="FA055625.09"/>
        <s v="FA056294.01"/>
        <s v="FA056526.05"/>
        <s v="FA056650.01"/>
        <s v="FA057035.02"/>
        <s v="FA057036.04"/>
        <s v="FA057593.04"/>
        <s v="FA057794.01"/>
        <s v="FA057796.04"/>
        <s v="FA057797.01"/>
        <s v="FA057909.06"/>
        <s v="FA057987.03"/>
        <s v="FA057988.02"/>
        <s v="FA057988.04"/>
        <s v="FA057990.01"/>
        <s v="FA058078.03"/>
        <s v="FA058186.04"/>
        <s v="FA058189.04"/>
        <s v="FA058332.04"/>
        <s v="FA058333.02"/>
        <s v="FA058333.04"/>
        <s v="FA058334.01"/>
        <s v="FA058334.03"/>
        <s v="FA058479.00"/>
        <s v="FA058543.02"/>
        <s v="FA058544.00"/>
        <s v="FA058598.05"/>
        <s v="FA058688.00"/>
        <s v="FA058688.02"/>
        <s v="FA058728.01"/>
        <s v="FA058730.02"/>
        <s v="FA058731.01"/>
        <s v="FA058732.02"/>
        <s v="FA058733.02"/>
        <s v="FA058774.03"/>
        <s v="FA059070.01"/>
        <s v="FA059211.03"/>
        <s v="FA059213.03"/>
        <s v="FA059214.03"/>
        <s v="FA059227.04"/>
        <s v="FA059227.06"/>
        <s v="FA059228.04"/>
        <s v="FA059358.04"/>
        <s v="FA059491.03"/>
        <s v="FA059492.03"/>
        <s v="FA059493.03"/>
        <s v="FA059495.03"/>
        <s v="FA059496.03"/>
        <s v="FA059497.03"/>
        <s v="FA059499.03"/>
        <s v="FA059500.03"/>
        <s v="FA059500.06"/>
        <s v="FA059501.03"/>
        <s v="FA059502.03"/>
        <s v="FA059503.03"/>
        <s v="FA059537.00"/>
        <s v="FA059538.01"/>
        <s v="FA059541.02"/>
        <s v="FA059541.03"/>
        <s v="FA059542.02"/>
        <s v="FA059543.01"/>
        <s v="FA059545.00"/>
        <s v="FA059619.00"/>
        <s v="FA059620.00"/>
        <s v="FA059621.02"/>
        <s v="FA059624.02"/>
        <s v="FA059673.03"/>
        <s v="FA059714.00"/>
        <s v="FA059726.00"/>
        <s v="FA059862.01"/>
        <s v="FA060645.01"/>
        <s v="FA060645.02"/>
        <s v="FA060655.02"/>
        <s v="FA060655.03"/>
        <s v="FA061111.01"/>
        <s v="FA061163.00"/>
        <s v="FA061520.03"/>
        <s v="FA061713.02"/>
        <s v="FA061999.00"/>
        <s v="FA062001.01"/>
        <s v="FA062322.02"/>
        <s v="FA062611.01"/>
        <s v="FA063351.02"/>
        <s v="FA063670.00"/>
        <s v="FA063671.00"/>
        <s v="FA063741.01"/>
        <s v="FA063900.00"/>
        <s v="FA063901.00"/>
        <s v="FA063902.00"/>
        <s v="FA063973.00"/>
        <s v="FA063974.00"/>
        <s v="FA065029.00"/>
        <s v="FA065031.00"/>
        <s v="FA065310.00"/>
        <s v="FA065449.00"/>
        <s v="FA065613.04"/>
        <s v="FA065614.04"/>
        <s v="FA065674.01"/>
        <s v="FA065677.01"/>
        <s v="FA065678.01"/>
        <s v="FA065682.01"/>
        <s v="FA065683.01"/>
        <s v="FA065685.01"/>
        <s v="FA065686.01"/>
        <s v="FA065687.01"/>
        <s v="FA065699.01"/>
        <s v="FA065701.01"/>
        <s v="FA065702.01"/>
        <s v="FA065703.01"/>
        <s v="FA065707.01"/>
        <s v="FA065709.01"/>
        <s v="FA065710.01"/>
        <s v="FA065711.01"/>
        <s v="FA065955.01"/>
        <s v="FA065956.01"/>
        <s v="FA065961.01"/>
        <s v="FA065964.01"/>
        <s v="FA065965.01"/>
        <s v="FA065966.01"/>
        <s v="FA065967.01"/>
        <s v="FA066106.01"/>
        <s v="FA066283.02"/>
        <s v="FA066283.04"/>
        <s v="FA066284.02"/>
        <s v="FA066284.03"/>
        <s v="FA066284.04"/>
        <s v="FA066285.03"/>
        <s v="FA066286.03"/>
        <s v="FA066639.01"/>
        <s v="FA066640.01"/>
        <s v="FA066652.02"/>
        <s v="FA066652.03"/>
        <s v="FA066652.04"/>
        <s v="FA066653.02"/>
        <s v="FA066653.04"/>
        <s v="FA067171.00"/>
        <s v="FA067176.00"/>
        <s v="FA067177.00"/>
        <s v="FA067191.01"/>
        <s v="FA067346.03"/>
        <s v="FA067347.03"/>
        <s v="FA067349.00"/>
        <s v="FA067350.01"/>
        <s v="FA067350.03"/>
        <s v="FA067358.01"/>
        <s v="FA067359.00"/>
        <s v="FA067442.02"/>
        <s v="FA067722.02"/>
        <s v="FA067842.00"/>
        <s v="FA067843.00"/>
        <s v="FA068015.00"/>
        <s v="FA068015.02"/>
        <s v="FA068230.03"/>
        <s v="FA068231.01"/>
        <s v="FA068279.01"/>
        <s v="FA068532.03"/>
        <s v="FA068552.01"/>
        <s v="FA068554.00"/>
        <s v="FA068555.00"/>
        <s v="FA068555.01"/>
        <s v="FA068573.00"/>
        <s v="FA068585.02"/>
        <s v="FA068586.02"/>
        <s v="FA068715.01"/>
        <s v="FA068715.03"/>
        <s v="FA068715.04"/>
        <s v="FA068887.01"/>
        <s v="FA068887.02"/>
        <s v="FA068901.02"/>
        <s v="FA068902.01"/>
        <s v="FA068903.01"/>
        <s v="FA068937.00"/>
        <s v="FA068943.00"/>
        <s v="FA068947.01"/>
        <s v="FA069011.00"/>
        <s v="FA069012.00"/>
        <s v="FA069026.00"/>
        <s v="FA069055.00"/>
        <s v="FA069058.00"/>
        <s v="FA069059.00"/>
        <s v="FA069062.00"/>
        <s v="FA069076.01"/>
        <s v="FA069109.01"/>
        <s v="FA069110.01"/>
        <s v="FA069111.01"/>
        <s v="FA069112.01"/>
        <s v="FA069113.01"/>
        <s v="FA069176.01"/>
        <s v="FA069250.00"/>
        <s v="FA069278.00"/>
        <s v="FA069279.00"/>
        <s v="FA069280.00"/>
        <s v="FA069281.00"/>
        <s v="FA069282.00"/>
        <s v="FA069283.00"/>
        <s v="FA069305.00"/>
        <s v="FA069384.00"/>
        <s v="FA069385.00"/>
        <s v="FA069391.02"/>
        <s v="FA069407.00"/>
        <s v="FA069494.00"/>
        <s v="FA069705.03"/>
        <s v="FA069713.01"/>
        <s v="FA069726.02"/>
        <s v="FA069727.02"/>
        <s v="FA069728.02"/>
        <s v="FA069729.00"/>
        <s v="FA069729.02"/>
        <s v="FA069730.02"/>
        <s v="FA069733.01"/>
        <s v="FA069734.00"/>
        <s v="FA069740.00"/>
        <s v="FA069745.00"/>
        <s v="FA069748.00"/>
        <s v="FA069748.01"/>
        <s v="FA069748.02"/>
        <s v="FA069796.00"/>
        <s v="FA069835.00"/>
        <s v="FA069890.00"/>
        <s v="FA069891.00"/>
        <s v="FA069904.00"/>
        <s v="FA069905.00"/>
        <s v="FA069906.00"/>
        <s v="FA069908.00"/>
        <s v="FA069949.00"/>
        <s v="FA070096.00"/>
        <s v="FA070184.00"/>
        <s v="FA070322.00"/>
        <s v="FA070528.00"/>
        <s v="FA070571.00"/>
        <s v="FA070918.00"/>
        <s v="FA070937.00"/>
        <m/>
        <s v="" u="1"/>
      </sharedItems>
    </cacheField>
    <cacheField name="Plant" numFmtId="0">
      <sharedItems containsBlank="1" count="4">
        <s v="ZD11"/>
        <s v="ID01"/>
        <m/>
        <s v="" u="1"/>
      </sharedItems>
    </cacheField>
    <cacheField name="Storage Location" numFmtId="0">
      <sharedItems containsBlank="1" count="11">
        <s v="1021"/>
        <s v="2080"/>
        <s v="3041"/>
        <s v="5020"/>
        <s v="2020"/>
        <s v="3040"/>
        <s v="5555"/>
        <s v="2065"/>
        <s v="1000"/>
        <s v="3090"/>
        <m/>
      </sharedItems>
    </cacheField>
    <cacheField name="Material Description" numFmtId="0">
      <sharedItems containsBlank="1" count="289">
        <s v="PETER JACKSON VIRGINIA KS BOX 20"/>
        <s v="ALPINE FILTER MNT KS BOX 20"/>
        <s v="PETER JACKSON VIRGINIA KS BOX 25"/>
        <s v="PETER JACKSON HYBRIDGO KS BOX 25"/>
        <s v="PETER JACKSON HYBRIDBL KS BOX 25"/>
        <s v="BOND STREET RED KS BOX 25"/>
        <s v="BOND STREET GOLD KS BOX 25"/>
        <s v="BOND STREET BLUE KS BOX 25"/>
        <s v="L&amp;M GREEN LINE MNT KS BOX 20"/>
        <s v="MARLBORO RED (UPGRADE) KS BOX 20"/>
        <s v="MARLBORO ICE BLAST MNT KS BOX 25"/>
        <s v="L&amp;M RED KS BOX 25"/>
        <s v="L&amp;M BLUE KS BOX 25"/>
        <s v="MARLBORO GOLD ADVANCE KS RCB 20"/>
        <s v="GOOD COMPANION KS BOX 20"/>
        <s v="BOND STREET BLUE KS BOX 20"/>
        <s v="BOND STREET GOLD KS BOX 20"/>
        <s v="BOND STREET RED KS BOX 20"/>
        <s v="BOND STREET BLUE KS BOX 40"/>
        <s v="BOND STREET GOLD KS BOX 40"/>
        <s v="BOND STREET RED KS BOX 40"/>
        <s v="MARLBORO (RED FWD) KS BOX 20"/>
        <s v="MARLBORO (RED FWD) KS BOS 20"/>
        <s v="MARLBORO MENTHOL (2.0) MNT KS BOS 20"/>
        <s v="MARLBORO BLMEN2.0 MNT KS BOX 20"/>
        <s v="MARLBORO WMENT2.0 MNT KS BOX 20"/>
        <s v="MARLBORO WMENT2.0 MNT KS BOS 20"/>
        <s v="MARLBORO ICE BLAST (2.0) MNT KS BOX 20"/>
        <s v="LONGBEACH EXTRA MILD KS BOX 20"/>
        <s v="MARLBORO GOLD (2.0 ORIGINAL) KS BOX 20"/>
        <s v="MARLBORO GOLD (2.0 ORIGINAL) KS BOX 25"/>
        <s v="MARLBORO (RED FWD) KS BOX 25"/>
        <s v="MARLBORO BLMEN2.0 MNT KS BOS 20"/>
        <s v="LARK BLUE KS RCB 20"/>
        <s v="CHESTERFIELD RED (3.0 WC) KS BOX 20"/>
        <s v="CHESTERFIELD BLUE (3.0 WC) KS BOX 20"/>
        <s v="MARLBORO ICE MINT (2.0) MNT KS BOS 20"/>
        <s v="MARLBORO DOUBU2.0 MNT KS BOS 20"/>
        <s v="L&amp;M FILTER KS BOX 20"/>
        <s v="L&amp;M MENTHOL CAPSULE MNT KS BOS 20"/>
        <s v="L&amp;M (RED CAPSULE) KS BOS 20"/>
        <s v="L&amp;M CHARCOAL FILTER KS BOS 20"/>
        <s v="MARLBORO DOUBU2.0 MNT KS BOX 20"/>
        <s v="CHOICE BOLD KS BOX 20"/>
        <s v="CHOICE CLASSIC (BLUE) KS BOX 20"/>
        <s v="CHESTERFIELD RED KS BOX 23"/>
        <s v="CHESTERFIELD BLUE KS BOX 23"/>
        <s v="CHESTERFIELD MENTHOL X MNT KS BOX 23"/>
        <s v="L&amp;M CHARCOAL FILTER KS RCB 20"/>
        <s v="CHESTERFIELD CAPSPURP MNT KS RCB 20"/>
        <s v="MARLBORO REFINEDM MNT KS BOS 20"/>
        <s v="MARLBORO ICE BLAST MEGA 8 MNT KS BOS 20"/>
        <s v="PETER JACKSON ORIBLFRM KS BOX 20"/>
        <s v="PETER JACKSON VIRGINIA RED FRM KS BOX 30"/>
        <s v="PETER JACKSON ORIBLFRM KS BOX 30"/>
        <s v="PETER JACKSON RICH GOLD FRM KS BOX 30"/>
        <s v="PETER JACKSON FINE SILVER FRM KS BOX 30"/>
        <s v="PETER JACKSON SUPWHFRM KS BOX 30"/>
        <s v="LONGBEACH FINE SILVER FRM KS BOX 30"/>
        <s v="LONGBEACH FINE SILVER FRM KS BOX 40"/>
        <s v="LONGBEACH MENFRFRM MNT KS BOX 40"/>
        <s v="LONGBEACH MEGREFRM MNT KS BOX 30"/>
        <s v="LONGBEACH MEGREFRM MNT KS BOX 40"/>
        <s v="LONGBEACH ORIGINAL YELLOW FRM KS BOX 20"/>
        <s v="LONGBEACH RICH BLUE FRM KS BOX 20"/>
        <s v="LONGBEACH RICH BLUE FRM KS BOX 30"/>
        <s v="LONGBEACH RICH BLUE FRM KS BOX 40"/>
        <s v="LONGBEACH SELECT WHITE FRM KS BOX 40"/>
        <s v="LONGBEACH ORIGINAL YELLOW FRM KS BOX 30"/>
        <s v="MARLBORO GOLD (2.0 ORIGINAL) KS BOS 20"/>
        <s v="MARLBORO FLAVOR MIX (FWD) KS BOS 20"/>
        <s v="MARLBORO ICE BLAST (2.0) MNT KS BOS 20"/>
        <s v="MARLBORO MINT CAPSULE MNT KS BOS 20"/>
        <s v="MARLBORO CRISP MINT (2.0) MNT KS BOS 20"/>
        <s v="LONGBEACH FILTER RED FRM KS BOX 40"/>
        <s v="MARLBORO BLACK MENTHOL MNT KS BOS 20"/>
        <s v="LARK LIGHT KS RCB 20"/>
        <s v="BOND STREET MENTHOL MNT KS BOX 40"/>
        <s v="MARLBORO SILVER (2.0) KS RCB 20"/>
        <s v="MARLBORO PURPLE BURST MNT KS BOX 20"/>
        <s v="MARLBORO PURPLE BURST MNT KS BOS 20"/>
        <s v="L&amp;M FAST FORWARD PURPLE MNT KS RCB 20"/>
        <s v="MARLBORO AMBER BURST MNT KS BOX 20"/>
        <s v="MARLBORO DOUBLE BLACK MNT KS BOS 20"/>
        <s v="CHESTERFIELD RED (CROWN 3.0) KS BOX 20"/>
        <s v="CHESTERFIELD BLUE (CROWN 3.0) KS BOX 20"/>
        <s v="CHESTERFIELD GREENCRO MNT KS BOX 20"/>
        <s v="L&amp;M RED LABEL (B) KS BOX 20"/>
        <s v="L&amp;M BLUE LABEL (B) KS BOX 20"/>
        <s v="L&amp;M RED LABEL (4.0) KS RCB 20"/>
        <s v="MARLBORO GOLD (2.5) KS BOX 20"/>
        <s v="L&amp;M BLUE LABEL (4.0) KS RCB 20"/>
        <s v="MARLBORO RED 25 KS BOX 20"/>
        <s v="CHOICE BLUE KS BOX 20"/>
        <s v="CHOICE GREEN MNT KS BOX 20"/>
        <s v="MARLBORO CRISP MINT (2.0) MNT KS BOX 20"/>
        <s v="MARLBORO RED 25 KS BOX 25"/>
        <s v="ALPINE FILTER MENTHOL FRM MNT KS BOX 25"/>
        <s v="ALPINE ORIMENFR MNT KS BOX 25"/>
        <s v="ALPINE FINE MENTHOL FRM MNT KS BOX 25"/>
        <s v="ALPINE SUPREME MENTHOL FRM MNT KS BOX 25"/>
        <s v="MARLBORO GOLD (2.0) KS BOS 20"/>
        <s v="MARLBORO SILVER (2.0) KS BOS 20"/>
        <s v="MARLBORO (RED 2.5) KS BOX 20"/>
        <s v="MARLBORO GOLD (2.5) KS RCB 20"/>
        <s v="PETER JACKSON HYBRIDSI MNT KS BOX 20"/>
        <s v="L&amp;M RED LINE KS BOS 20"/>
        <s v="L&amp;M BLUE LINE KS BOS 20"/>
        <s v="L&amp;M EXTRA MENTHOL MNT KS BOS 20"/>
        <s v="L&amp;M FAST FORWARD MNT KS BOS 20"/>
        <s v="MARLBORO GOLD (3.0 ORIGINAL) KS BOS 20"/>
        <s v="L&amp;M CHILL MNT KS BOS 20"/>
        <s v="MARLBORO ICE BLAST MEGA MNT KS BOS 20"/>
        <s v="MARLBORO DOUBUR25 MNT KS BOS 20"/>
        <s v="MARLBORO ADVANCE SILVER (3.0) KS BOS 20"/>
        <s v="MARLBORO ADVANCE BLUE (3.0) KS BOS 20"/>
        <s v="CHESTERFIELD MENTPUR4 MNT KS BOS 20"/>
        <s v="MARLBORO MEGICEB2 MNT KS BOS 20"/>
        <s v="CHESTERFIELD FILTER (RED 4.0) KS BOS 20"/>
        <s v="CHESTERFIELD FILTER (BLUE 4.0) KS BOS 20"/>
        <s v="CHESTERFIELD MENSTD4 MNT KS BOS 20"/>
        <s v="PHILIP MORRIS CAPSULE MNT KS BOX 20"/>
        <s v="PETER JACKSON ORIBLFRM KS BOX 40"/>
        <s v="PETER JACKSON RICH GOLD FRM KS BOX 40"/>
        <s v="MARLBORO GOLD (3.0 ORIGINAL) KS BOX 20"/>
        <s v="MARLBORO ICE BLAST MEGA 5 MNT KS BOS 20"/>
        <s v="MARLBORO ICE BLAST MEGA 1 MNT KS BOS 20"/>
        <s v="L&amp;M DOUBLE FORWARD PURPLE MNT KS RCB 20"/>
        <s v="MARLBORO PURPLE MNT KS BOX 20"/>
        <s v="L&amp;M BLUE LABEL KS RCB 20"/>
        <s v="L&amp;M RED LABEL KS RCB 20"/>
        <s v="PARLIAMENT AQUA BLUE KS RCB 20"/>
        <s v="PARLIAMENT NIGHT BLUE KS RCB 20"/>
        <s v="MARLBORO AMBER MNT KS BOX 20"/>
        <s v="MARLBORO (RED 2.5) KS BOX 25"/>
        <s v="MARLBORO (GOLD 3.0) KS BOS 20"/>
        <s v="MARLBORO (GOLD 3.0) KS RCB 20"/>
        <s v="MARLBORO AMBER BURST MNT KS BOS 20"/>
        <s v="CHESTERFIELD CHARCOAL (BLUE) KS BOS 20"/>
        <s v="CHOICE BLONDE KS BOX 20"/>
        <s v="LONGBEACH RED KS BOX 20"/>
        <s v="LONGBEACH YELLOW KS BOX 20"/>
        <s v="LONGBEACH RED KS BOX 25"/>
        <s v="LONGBEACH YELLOW KS BOX 25"/>
        <s v="CHOICE RED KS BOX 20"/>
        <s v="BOND STREET RED KS BOX 30"/>
        <s v="BOND STREET BLUE KS BOX 30"/>
        <s v="MARLBORO GOLD (3.0 ORIGINAL) KS RCB 20"/>
        <s v="MARLBORO ICE BURST MNT KS BOX 20"/>
        <s v="MARLBORO SPLASH MEGA MNT KS BOS 20"/>
        <s v="MARLBORO RED 2.0 KS BOX 20"/>
        <s v="MARLBORO SILVER BLUE (3.0) KS BOS 20"/>
        <m/>
        <s v="" u="1"/>
        <s v="L&amp;M GREEN LINE MNT KS BOS 20" u="1"/>
        <s v="MARLBORO VINTAGE KS SOF 20" u="1"/>
        <s v="NEXT MINT INTENSE MNT KS RCB 20" u="1"/>
        <s v="CHESTERFIELD MINT BURST MNT KS RCB 20" u="1"/>
        <s v="L&amp;M BLUE KS BOX 23" u="1"/>
        <s v="L&amp;M (RED CAPSULE) KS RCB 20" u="1"/>
        <s v="LONGBEACH EXTRA MILD KS BOX 25" u="1"/>
        <s v="MARLBORO DOUBLBL2 MNT KS BOX 20" u="1"/>
        <s v="MARLBORO GOLD ADVANCE KS BOX 20" u="1"/>
        <s v="MARLBORO MENLI2.0 MNT KS BOX 20" u="1"/>
        <s v="MARLBORO ULTRA LIGHTS KS BOX 20" u="1"/>
        <s v="LARK RED KS RCB 20" u="1"/>
        <s v="MARLBORO (RED FWD) KS SOF 20" u="1"/>
        <s v="MARLBORO MENTHOL (2.0) MNT KS BOX 25" u="1"/>
        <s v="LONGBEACH ORIGINAL YELLOW FRM KS BOX 40" u="1"/>
        <s v="PETER JACKSON ORIGINAL FLAVOUR KS BOX 25" u="1"/>
        <s v="L&amp;M (UPGRADE) KS BOX 20" u="1"/>
        <s v="L&amp;M BLUE LINE KS BOX 20" u="1"/>
        <s v="L&amp;M RED LABEL KS BOX 20" u="1"/>
        <s v="NEXT MINT TWIST MNT KS BOX 20" u="1"/>
        <s v="RICHMOND LIGHTS KS BOX 20" u="1"/>
        <s v="L&amp;M MENTHOL CAPSULE MNT KS RCB 20" u="1"/>
        <s v="MARLBORO ADVANCE SILVER (2.0) KS BOS 20" u="1"/>
        <s v="L&amp;M FAST FORWARD PURPLE MNT KS BOS 20" u="1"/>
        <s v="NEXT MNT KS BOX 20" u="1"/>
        <s v="CHOICE FULL RED KS BOX 40" u="1"/>
        <s v="NEXT RED KS BOX 23" u="1"/>
        <s v="MARLBORO LIGHTS MNT KS BOX 20" u="1"/>
        <s v="MARLBORO (WHITE) MNT KS BOX 20" u="1"/>
        <s v="MARLBORO GOLD LIGHTS KS BOX 20" u="1"/>
        <s v="MARLBORO MENTHOL MNT KS BOX 20" u="1"/>
        <s v="MARLBORO (RED FWD) KS TIN 20" u="1"/>
        <s v="L&amp;M THREAD FILTER (MINT) KS RCB 20" u="1"/>
        <s v="NEXT MENTHOL MNT KS BOX 20" u="1"/>
        <s v="NEXT SUBZERO MNT KS BOX 20" u="1"/>
        <s v="L&amp;M FAST FORWARD PURPLE MNT KS BOX 20" u="1"/>
        <s v="NEXT MNT KS RCB 20" u="1"/>
        <s v="L&amp;M RED LINE KS BOX 20" u="1"/>
        <s v="NEXT FINE MNT KS BOX 20" u="1"/>
        <s v="NEXT ORIGINAL KS BOX 20" u="1"/>
        <s v="MARLBORO AMBER BURST 5 MNT KS BOX 20" u="1"/>
        <s v="MARLBORO BLACK MENTHOL MNT KS BOX 20" u="1"/>
        <s v="MARLBORO MENTHOL (2.0) MNT KS BOX 20" u="1"/>
        <s v="MARLBORO WHITE MENTHOL MNT KS BOX 20" u="1"/>
        <s v="MARLBORO KS BOX 20" u="1"/>
        <s v="L&amp;M (RED) KS BOX 20" u="1"/>
        <s v="MARLBORO BLUEFIRM KS BOX 25" u="1"/>
        <s v="LONGBEACH MENTHOL MNT KS BOX 25" u="1"/>
        <s v="LARK SILVER. KS RCB 20" u="1"/>
        <s v="LONGBEACH ORIGINAL FLAVOUR KS BOX 25" u="1"/>
        <s v="CHOICE BOLD KS BOX 25" u="1"/>
        <s v="PJHYB 2XTREMEF MNT KS BOX 25" u="1"/>
        <s v="MARLBORO (RED UPGRADE) KS BOX 25" u="1"/>
        <s v="MARLBORO GOLD ORIGINAL KS BOX 25" u="1"/>
        <s v="L&amp;M LIGHTS KS BOX 20" u="1"/>
        <s v="L&amp;M ORIGINAL KS BOX 23" u="1"/>
        <s v="L&amp;M RED CORE KS RCB 20" u="1"/>
        <s v="MARLBORO RED 2.5 KS BOX 20" u="1"/>
        <s v="MARLBORO GOLD KS BOX 20" u="1"/>
        <s v="CHOICE RED KS BOX 25" u="1"/>
        <s v="CHESTERFIELD FILTERSB KS BOX 20" u="1"/>
        <s v="CHESTERFIELD FILTERSR KS BOX 20" u="1"/>
        <s v="MARLBORO ADVANCE HYBRID KS RCB 20" u="1"/>
        <s v="NEXT MENTHOL MNT KS RCB 20" u="1"/>
        <s v="NEXT SUBZERO MNT KS RCB 20" u="1"/>
        <s v="MARLBORO ADVANCE (2.0 ORIG) KS BOS 20" u="1"/>
        <s v="MARLBORO PURPLE BURST 5 MNT KS BOS 20" u="1"/>
        <s v="NEXT AMBER TWIST MNT KS RCB 20" u="1"/>
        <s v="MARLBORO (RED UPGRADE) KS BOX 20" u="1"/>
        <s v="MARLBORO GOLD ORIGINAL KS BOX 20" u="1"/>
        <s v="MARLBORO ICE BLAST MNT KS BOX 20" u="1"/>
        <s v="MARLBORO GOLD (2.0 ORIGINAL) KS TIN 20" u="1"/>
        <s v="MARLBORO DOUBLE BLACK MNT KS BOX 20" u="1"/>
        <s v="MARLBORO MINT CAPSULE MNT KS BOX 20" u="1"/>
        <s v="PETER JACKSON ORIGINAL FLAVOUR KS BOX 20" u="1"/>
        <s v="NEXT FINE KS BOX 20" u="1"/>
        <s v="CHESTERFIELD FILTERSB KS RCB 20" u="1"/>
        <s v="CHESTERFIELD FILTERSR KS RCB 20" u="1"/>
        <s v="MARLBORO BLACK MNT KS BOX 20" u="1"/>
        <s v="GOOD COMPANION DELUXE KS BOX 20" u="1"/>
        <s v="CHOICE BLONDE KS BOX 25" u="1"/>
        <s v="ALPINE RICH MENTHOL FRM MNT KS BOX 25" u="1"/>
        <s v="RICHMOND KS BOX 20" u="1"/>
        <s v="LARK MINT-X MNT KS BOX 20" u="1"/>
        <s v="L&amp;M (BLUE CAPSULE) KS RCB 20" u="1"/>
        <s v="MARLBORO MENTHOL LIGHTS MNT KS BOX 20" u="1"/>
        <s v="MARLBORO PURPLE BURST 5 MNT KS BOX 20" u="1"/>
        <s v="MARLBORO MNT KS BOX 20" u="1"/>
        <s v="MARLBORO (RED UPGRADE) KS SOF 20" u="1"/>
        <s v="PETER JACKSON MENTHOL MNT KS BOX 20" u="1"/>
        <s v="MARLBORO SILVER (2.5) KS BOS 20" u="1"/>
        <s v="L&amp;M FILTER KS BOX 14" u="1"/>
        <s v="L&amp;M LIGHTS KS BOX 14" u="1"/>
        <s v="BOND STREET ROYAL KS BOX 20" u="1"/>
        <s v="LONGBEACH FILTER KS BOX 20" u="1"/>
        <s v="PETER JACKSON MENTHOL MNT KS BOX 25" u="1"/>
        <s v="NEXT BLUE LABEL KS RCB 20" u="1"/>
        <s v="MARLBORO GOLD (2.5) KS BOX 25" u="1"/>
        <s v="PETER JACKSON RICH GOLD FRM KS BOX 20" u="1"/>
        <s v="CHESTERFIELD MENTHOL GREEN MNT KS BOS 20" u="1"/>
        <s v="CHESTERFIELD MENTHOL GREEN MNT KS RCB 20" u="1"/>
        <s v="CHESTERFIELD PURPLE CAPS 5 MNT KS RCB 20" u="1"/>
        <s v="CHESTERFIELD BLUE KS RCB 20" u="1"/>
        <s v="CHOICE CLASSIC (BLUE) KS BOX 25" u="1"/>
        <s v="L&amp;M MNT KS BOX 20" u="1"/>
        <s v="CHESTERFIELD RED KS BOX 20" u="1"/>
        <s v="L&amp;M EXTRA MENTHOL MNT KS BOX 20" u="1"/>
        <s v="NEXT MINT INTENSE MNT KS BOX 23" u="1"/>
        <s v="NEXT BLUE LABEL KS BOX 20" u="1"/>
        <s v="LARK FLAVOR KS BOX 20" u="1"/>
        <s v="NEXT FINE MNT KS RCB 20" u="1"/>
        <s v="NEXT ORIGINAL KS RCB 20" u="1"/>
        <s v="NEXT BLUE KS BOX 23" u="1"/>
        <s v="NEXT FINE KS RCB 20" u="1"/>
        <s v="CHESTERFIELD VIRGINCA MNT KS BOX 20" u="1"/>
        <s v="MARLBORO FILTER KS BOX 20" u="1"/>
        <s v="MARLBORO LIGHTS KS BOX 20" u="1"/>
        <s v="MARLBORO GREEN MINT MNT KS BOX 20" u="1"/>
        <s v="L&amp;M KS BOX 20" u="1"/>
        <s v="NEXT MINT TWIST MNT KS RCB 20" u="1"/>
        <s v="PETER JACKSON HYBRID KS BOX 25" u="1"/>
        <s v="BASIC REFRESHING MNT KS BOX 20" u="1"/>
        <s v="CHESTERFIELD MENTHOL MNT KS RCB 20" u="1"/>
        <s v="L&amp;M FF KS BOX 20" u="1"/>
        <s v="CHESTERFIELD RED KS RCB 20" u="1"/>
        <s v="LONGBEACH FILTER KS BOX 25" u="1"/>
        <s v="L&amp;M FAST FORWARD MNT KS BOX 20" u="1"/>
        <s v="NEXT MINT INTENSE MNT KS BOX 20" u="1"/>
        <s v="MARLBORO GOLD (2.5) KS BOS 20" u="1"/>
        <s v="MARLBORO GOLD (2.0 ORIGINAL) KS SOF 20" u="1"/>
        <s v="CHESTERFIELD FILTERSB KS BOS 20" u="1"/>
        <s v="CHESTERFIELD FILTERSR KS BOS 20" u="1"/>
        <s v="BASIC FINE FLAVOR KS BOX 20" u="1"/>
        <s v="PETER JACKSON RICH GOLD KS BOX 20" u="1"/>
        <s v="L&amp;M FRESH MNT KS BOS 20" u="1"/>
      </sharedItems>
    </cacheField>
    <cacheField name="Base Unit of Measure" numFmtId="0">
      <sharedItems containsBlank="1"/>
    </cacheField>
    <cacheField name="Batch" numFmtId="0">
      <sharedItems containsBlank="1"/>
    </cacheField>
    <cacheField name="Unrestricted" numFmtId="0">
      <sharedItems containsString="0" containsBlank="1" containsNumber="1" minValue="0" maxValue="2147"/>
    </cacheField>
    <cacheField name="In Quality Insp." numFmtId="0">
      <sharedItems containsString="0" containsBlank="1" containsNumber="1" minValue="0" maxValue="256"/>
    </cacheField>
    <cacheField name="Blocked" numFmtId="0">
      <sharedItems containsString="0" containsBlank="1" containsNumber="1" minValue="0" maxValue="80"/>
    </cacheField>
    <cacheField name="Total Stock" numFmtId="0">
      <sharedItems containsString="0" containsBlank="1" containsNumber="1" minValue="0" maxValue="721704.96299999999" count="625">
        <n v="14"/>
        <n v="28"/>
        <n v="1"/>
        <n v="30"/>
        <n v="3"/>
        <n v="2"/>
        <n v="60"/>
        <n v="1133"/>
        <n v="694"/>
        <n v="480"/>
        <n v="48"/>
        <n v="1770"/>
        <n v="8"/>
        <n v="22"/>
        <n v="372"/>
        <n v="962"/>
        <n v="922"/>
        <n v="47"/>
        <n v="0.12"/>
        <n v="663"/>
        <n v="1114"/>
        <n v="16"/>
        <n v="20"/>
        <n v="128"/>
        <n v="50"/>
        <n v="607"/>
        <n v="7"/>
        <n v="370"/>
        <n v="291"/>
        <n v="11"/>
        <n v="1553"/>
        <n v="885"/>
        <n v="2117"/>
        <n v="2147"/>
        <n v="51"/>
        <n v="65"/>
        <n v="752"/>
        <n v="295"/>
        <n v="316"/>
        <n v="90"/>
        <n v="12"/>
        <n v="44"/>
        <n v="5"/>
        <n v="377"/>
        <n v="15"/>
        <n v="0.224"/>
        <n v="2.718"/>
        <n v="0.80400000000000005"/>
        <n v="2.238"/>
        <n v="1.5820000000000001"/>
        <n v="1.756"/>
        <n v="6.52"/>
        <n v="12.878"/>
        <n v="7.7060000000000004"/>
        <n v="4.88"/>
        <n v="6.6159999999999997"/>
        <n v="14.87"/>
        <n v="6.242"/>
        <n v="790"/>
        <n v="63.7"/>
        <n v="736"/>
        <n v="206"/>
        <n v="746"/>
        <n v="570"/>
        <n v="992"/>
        <n v="210"/>
        <n v="331"/>
        <n v="92"/>
        <n v="46"/>
        <n v="4"/>
        <n v="1569"/>
        <n v="41"/>
        <n v="497"/>
        <n v="336"/>
        <n v="412"/>
        <n v="0.08"/>
        <n v="84"/>
        <n v="80"/>
        <n v="395"/>
        <n v="742"/>
        <n v="61"/>
        <n v="122"/>
        <n v="367"/>
        <n v="78"/>
        <n v="103"/>
        <n v="104"/>
        <n v="241"/>
        <n v="132"/>
        <n v="27"/>
        <n v="339"/>
        <n v="351"/>
        <n v="720"/>
        <n v="300"/>
        <n v="144"/>
        <n v="52"/>
        <n v="126"/>
        <n v="43"/>
        <n v="26"/>
        <n v="29"/>
        <n v="6"/>
        <n v="121"/>
        <n v="9"/>
        <n v="925"/>
        <n v="971"/>
        <n v="114"/>
        <n v="10"/>
        <n v="543"/>
        <n v="238"/>
        <n v="322"/>
        <n v="610"/>
        <n v="0.22"/>
        <n v="194"/>
        <n v="445"/>
        <n v="303"/>
        <n v="942"/>
        <n v="176"/>
        <n v="91"/>
        <n v="1166"/>
        <n v="580"/>
        <n v="448"/>
        <n v="509"/>
        <n v="256"/>
        <n v="434"/>
        <n v="868"/>
        <n v="19"/>
        <n v="506"/>
        <n v="67"/>
        <n v="1006"/>
        <n v="71"/>
        <n v="397"/>
        <n v="240"/>
        <n v="40"/>
        <n v="59"/>
        <n v="181"/>
        <n v="646"/>
        <n v="285"/>
        <n v="17"/>
        <n v="96"/>
        <n v="13"/>
        <n v="500"/>
        <n v="89"/>
        <n v="72"/>
        <n v="586"/>
        <n v="100"/>
        <n v="113"/>
        <n v="253"/>
        <n v="97"/>
        <n v="18"/>
        <n v="24"/>
        <n v="3.1259999999999999"/>
        <n v="75"/>
        <n v="138"/>
        <n v="42"/>
        <n v="32"/>
        <n v="151"/>
        <n v="38"/>
        <n v="330"/>
        <n v="245"/>
        <n v="79"/>
        <n v="102"/>
        <n v="87"/>
        <n v="187"/>
        <n v="106.92"/>
        <n v="615"/>
        <n v="115"/>
        <n v="374"/>
        <n v="190"/>
        <n v="358"/>
        <n v="149"/>
        <n v="140"/>
        <n v="651"/>
        <n v="247"/>
        <n v="638"/>
        <n v="279"/>
        <n v="753"/>
        <n v="590"/>
        <n v="387"/>
        <n v="487"/>
        <n v="101"/>
        <n v="23"/>
        <n v="83"/>
        <n v="93"/>
        <n v="385"/>
        <n v="204"/>
        <n v="120"/>
        <n v="157"/>
        <n v="202"/>
        <n v="270"/>
        <n v="154"/>
        <n v="55"/>
        <n v="112"/>
        <n v="564"/>
        <n v="156"/>
        <n v="250"/>
        <n v="203"/>
        <n v="929"/>
        <n v="127"/>
        <n v="200"/>
        <n v="405"/>
        <n v="6.28"/>
        <n v="5.6859999999999999"/>
        <n v="0.188"/>
        <n v="6.8179999999999996"/>
        <n v="3.3559999999999999"/>
        <n v="5.9459999999999997"/>
        <n v="2.2120000000000002"/>
        <n v="4.968"/>
        <n v="5.6520000000000001"/>
        <n v="4.9320000000000004"/>
        <n v="2.2400000000000002"/>
        <n v="150"/>
        <n v="25"/>
        <n v="420"/>
        <n v="195"/>
        <n v="180"/>
        <n v="272"/>
        <n v="34"/>
        <n v="229"/>
        <n v="69"/>
        <n v="1.083"/>
        <n v="0.91700000000000004"/>
        <n v="21"/>
        <n v="0.5"/>
        <n v="106"/>
        <n v="117"/>
        <n v="660"/>
        <n v="337"/>
        <n v="36"/>
        <n v="440"/>
        <n v="443"/>
        <n v="33"/>
        <n v="0.54200000000000004"/>
        <n v="1.583"/>
        <n v="31"/>
        <n v="152"/>
        <n v="0.20799999999999999"/>
        <n v="1.333"/>
        <n v="20.832999999999998"/>
        <n v="217"/>
        <n v="164"/>
        <n v="471"/>
        <n v="35"/>
        <n v="125"/>
        <n v="519"/>
        <n v="384"/>
        <n v="53"/>
        <n v="219"/>
        <n v="211"/>
        <n v="554"/>
        <n v="0.878"/>
        <n v="2.59"/>
        <n v="2.1139999999999999"/>
        <n v="2.7519999999999998"/>
        <n v="2.8940000000000001"/>
        <n v="1.004"/>
        <n v="0.97399999999999998"/>
        <n v="582"/>
        <n v="433"/>
        <n v="77"/>
        <n v="76"/>
        <n v="0.41699999999999998"/>
        <n v="0.33300000000000002"/>
        <n v="1.042"/>
        <n v="0.25"/>
        <n v="142"/>
        <n v="130"/>
        <m/>
        <n v="0" u="1"/>
        <n v="4470" u="1"/>
        <n v="3570" u="1"/>
        <n v="3310" u="1"/>
        <n v="22.24" u="1"/>
        <n v="2790" u="1"/>
        <n v="2400" u="1"/>
        <n v="450" u="1"/>
        <n v="5132" u="1"/>
        <n v="10140" u="1"/>
        <n v="320" u="1"/>
        <n v="450.56" u="1"/>
        <n v="855.6" u="1"/>
        <n v="584" u="1"/>
        <n v="0.74" u="1"/>
        <n v="2.02" u="1"/>
        <n v="12630" u="1"/>
        <n v="17.3" u="1"/>
        <n v="650" u="1"/>
        <n v="520" u="1"/>
        <n v="70" u="1"/>
        <n v="2.06" u="1"/>
        <n v="7.4" u="1"/>
        <n v="1970" u="1"/>
        <n v="1840" u="1"/>
        <n v="1580" u="1"/>
        <n v="1450" u="1"/>
        <n v="1190" u="1"/>
        <n v="1060" u="1"/>
        <n v="7110" u="1"/>
        <n v="5550" u="1"/>
        <n v="23.78" u="1"/>
        <n v="5030" u="1"/>
        <n v="4510" u="1"/>
        <n v="3720" u="1"/>
        <n v="2680" u="1"/>
        <n v="65100" u="1"/>
        <n v="2550" u="1"/>
        <n v="2420" u="1"/>
        <n v="2290" u="1"/>
        <n v="15420" u="1"/>
        <n v="290" u="1"/>
        <n v="34.54" u="1"/>
        <n v="13.12" u="1"/>
        <n v="5180" u="1"/>
        <n v="4400" u="1"/>
        <n v="4140" u="1"/>
        <n v="980" u="1"/>
        <n v="2428" u="1"/>
        <n v="1720" u="1"/>
        <n v="1590" u="1"/>
        <n v="1460" u="1"/>
        <n v="1330" u="1"/>
        <n v="324" u="1"/>
        <n v="1200" u="1"/>
        <n v="6890" u="1"/>
        <n v="5070" u="1"/>
        <n v="160" u="1"/>
        <n v="2.6" u="1"/>
        <n v="27.96" u="1"/>
        <n v="4944" u="1"/>
        <n v="788" u="1"/>
        <n v="2960" u="1"/>
        <n v="2700" u="1"/>
        <n v="2180" u="1"/>
        <n v="2050" u="1"/>
        <n v="6252" u="1"/>
        <n v="390" u="1"/>
        <n v="10300" u="1"/>
        <n v="9780" u="1"/>
        <n v="9260" u="1"/>
        <n v="76950.845000000001" u="1"/>
        <n v="13.2" u="1"/>
        <n v="260" u="1"/>
        <n v="18430" u="1"/>
        <n v="920" u="1"/>
        <n v="0.88" u="1"/>
        <n v="530" u="1"/>
        <n v="6.98" u="1"/>
        <n v="59.5" u="1"/>
        <n v="1990" u="1"/>
        <n v="1860" u="1"/>
        <n v="1600" u="1"/>
        <n v="1470" u="1"/>
        <n v="1210" u="1"/>
        <n v="6670" u="1"/>
        <n v="20070" u="1"/>
        <n v="29.82" u="1"/>
        <n v="15.82" u="1"/>
        <n v="4020" u="1"/>
        <n v="3370" u="1"/>
        <n v="9.1999999999999993" u="1"/>
        <n v="2590" u="1"/>
        <n v="54.76" u="1"/>
        <n v="2.0249999999999999" u="1"/>
        <n v="490" u="1"/>
        <n v="1604" u="1"/>
        <n v="360" u="1"/>
        <n v="664" u="1"/>
        <n v="7340" u="1"/>
        <n v="5780" u="1"/>
        <n v="5520" u="1"/>
        <n v="88" u="1"/>
        <n v="5000" u="1"/>
        <n v="4480" u="1"/>
        <n v="11830" u="1"/>
        <n v="860" u="1"/>
        <n v="696.32" u="1"/>
        <n v="600" u="1"/>
        <n v="0.64" u="1"/>
        <n v="13.98" u="1"/>
        <n v="137.30000000000001" u="1"/>
        <n v="2.2000000000000002" u="1"/>
        <n v="441.6" u="1"/>
        <n v="2000" u="1"/>
        <n v="1610" u="1"/>
        <n v="35.36" u="1"/>
        <n v="1350" u="1"/>
        <n v="1220" u="1"/>
        <n v="1090" u="1"/>
        <n v="6970" u="1"/>
        <n v="1.32" u="1"/>
        <n v="5670" u="1"/>
        <n v="64" u="1"/>
        <n v="3520" u="1"/>
        <n v="3130" u="1"/>
        <n v="3000" u="1"/>
        <n v="2610" u="1"/>
        <n v="2480" u="1"/>
        <n v="22090" u="1"/>
        <n v="16890" u="1"/>
        <n v="12.36" u="1"/>
        <n v="0.44" u="1"/>
        <n v="7640" u="1"/>
        <n v="6600" u="1"/>
        <n v="7.64" u="1"/>
        <n v="5820" u="1"/>
        <n v="930" u="1"/>
        <n v="56" u="1"/>
        <n v="800" u="1"/>
        <n v="670" u="1"/>
        <n v="1.6" u="1"/>
        <n v="540" u="1"/>
        <n v="396" u="1"/>
        <n v="1251.2" u="1"/>
        <n v="1880" u="1"/>
        <n v="1620" u="1"/>
        <n v="1490" u="1"/>
        <n v="6.64" u="1"/>
        <n v="932" u="1"/>
        <n v="2236" u="1"/>
        <n v="3930" u="1"/>
        <n v="2760" u="1"/>
        <n v="2240" u="1"/>
        <n v="20170" u="1"/>
        <n v="500.8" u="1"/>
        <n v="430" u="1"/>
        <n v="145.1" u="1"/>
        <n v="0.32" u="1"/>
        <n v="1000" u="1"/>
        <n v="870" u="1"/>
        <n v="3032" u="1"/>
        <n v="14.68" u="1"/>
        <n v="2020" u="1"/>
        <n v="7176" u="1"/>
        <n v="1500" u="1"/>
        <n v="1240" u="1"/>
        <n v="26.92" u="1"/>
        <n v="230" u="1"/>
        <n v="6530" u="1"/>
        <n v="5750" u="1"/>
        <n v="17430" u="1"/>
        <n v="3300" u="1"/>
        <n v="2780" u="1"/>
        <n v="2520" u="1"/>
        <n v="2390" u="1"/>
        <n v="548" u="1"/>
        <n v="19.84" u="1"/>
        <n v="400" u="1"/>
        <n v="8540" u="1"/>
        <n v="0.8" u="1"/>
        <n v="1.62" u="1"/>
        <n v="52.5" u="1"/>
        <n v="246.72" u="1"/>
        <n v="5640" u="1"/>
        <n v="14670" u="1"/>
        <n v="940" u="1"/>
        <n v="810" u="1"/>
        <n v="680" u="1"/>
        <n v="550" u="1"/>
        <n v="27.08" u="1"/>
        <n v="44.5" u="1"/>
        <n v="2030" u="1"/>
        <n v="187.46" u="1"/>
        <n v="6.8" u="1"/>
        <n v="1510" u="1"/>
        <n v="1380" u="1"/>
        <n v="1250" u="1"/>
        <n v="1120" u="1"/>
        <n v="812" u="1"/>
        <n v="4490" u="1"/>
        <n v="18000" u="1"/>
        <n v="30.48" u="1"/>
        <n v="3450" u="1"/>
        <n v="26.78" u="1"/>
        <n v="2800" u="1"/>
        <n v="2670" u="1"/>
        <n v="7232" u="1"/>
        <n v="57.6" u="1"/>
        <n v="7500" u="1"/>
        <n v="5940" u="1"/>
        <n v="5.3" u="1"/>
        <n v="1010" u="1"/>
        <n v="880" u="1"/>
        <n v="64.52" u="1"/>
        <n v="750" u="1"/>
        <n v="620" u="1"/>
        <n v="3.38" u="1"/>
        <n v="2040" u="1"/>
        <n v="31.26" u="1"/>
        <n v="0.36799999999999999" u="1"/>
        <n v="1130" u="1"/>
        <n v="13490" u="1"/>
        <n v="33.92" u="1"/>
        <n v="0.4" u="1"/>
        <n v="11.46" u="1"/>
        <n v="3990" u="1"/>
        <n v="3730" u="1"/>
        <n v="2820" u="1"/>
        <n v="2560" u="1"/>
        <n v="2300" u="1"/>
        <n v="470" u="1"/>
        <n v="0.82" u="1"/>
        <n v="1264" u="1"/>
        <n v="8700" u="1"/>
        <n v="5460" u="1"/>
        <n v="4940" u="1"/>
        <n v="4160" u="1"/>
        <n v="950" u="1"/>
        <n v="3.4" u="1"/>
        <n v="21880" u="1"/>
        <n v="1.92" u="1"/>
        <n v="504" u="1"/>
        <n v="1920" u="1"/>
        <n v="1660" u="1"/>
        <n v="8370" u="1"/>
        <n v="15235.2" u="1"/>
        <n v="36270" u="1"/>
        <n v="3750" u="1"/>
        <n v="3360" u="1"/>
        <n v="2710" u="1"/>
        <n v="2.94" u="1"/>
        <n v="2060" u="1"/>
        <n v="26.8" u="1"/>
        <n v="310" u="1"/>
        <n v="9300" u="1"/>
        <n v="33.78" u="1"/>
        <n v="1020" u="1"/>
        <n v="890" u="1"/>
        <n v="35.799999999999997" u="1"/>
        <n v="760" u="1"/>
        <n v="630" u="1"/>
        <n v="0.2" u="1"/>
        <n v="956" u="1"/>
        <n v="67.64" u="1"/>
        <n v="1800" u="1"/>
        <n v="1410" u="1"/>
        <n v="5390" u="1"/>
        <n v="170" u="1"/>
        <n v="4870" u="1"/>
        <n v="4610" u="1"/>
        <n v="3900" u="1"/>
        <n v="3380" u="1"/>
        <n v="3120" u="1"/>
        <n v="17.420000000000002" u="1"/>
        <n v="2340" u="1"/>
        <n v="410" u="1"/>
        <n v="280" u="1"/>
        <n v="1676" u="1"/>
        <n v="5540" u="1"/>
        <n v="5020" u="1"/>
        <n v="0.04" u="1"/>
        <n v="4500" u="1"/>
        <n v="40500" u="1"/>
        <n v="68" u="1"/>
        <n v="11350" u="1"/>
        <n v="77.28" u="1"/>
        <n v="960" u="1"/>
        <n v="1028" u="1"/>
        <n v="18450" u="1"/>
        <n v="5.08" u="1"/>
        <n v="236" u="1"/>
        <n v="896" u="1"/>
        <n v="12800" u="1"/>
        <n v="1030" u="1"/>
        <n v="8030" u="1"/>
        <n v="7510" u="1"/>
        <n v="7250" u="1"/>
        <n v="4.58" u="1"/>
        <n v="6990" u="1"/>
        <n v="220" u="1"/>
        <n v="1.2" u="1"/>
        <n v="2620" u="1"/>
        <n v="2490" u="1"/>
        <n v="510" u="1"/>
        <n v="380" u="1"/>
        <n v="26.06" u="1"/>
        <n v="36.44" u="1"/>
        <n v="95.62" u="1"/>
        <n v="2104" u="1"/>
        <n v="5060" u="1"/>
        <n v="900" u="1"/>
        <n v="84.72" u="1"/>
        <n v="3.54" u="1"/>
        <n v="640" u="1"/>
        <n v="1948" u="1"/>
        <n v="59.56" u="1"/>
        <n v="9991.2000000000007" u="1"/>
        <n v="1820" u="1"/>
        <n v="1690" u="1"/>
        <n v="71.34" u="1"/>
        <n v="1170" u="1"/>
        <n v="1040" u="1"/>
        <n v="0.85" u="1"/>
        <n v="4690" u="1"/>
        <n v="4070" u="1"/>
        <n v="3680" u="1"/>
        <n v="3550" u="1"/>
        <n v="7038" u="1"/>
        <n v="11.1" u="1"/>
        <n v="3030" u="1"/>
        <n v="2900" u="1"/>
        <n v="0.02" u="1"/>
        <n v="2.5" u="1"/>
        <n v="2250" u="1"/>
        <n v="350" u="1"/>
        <n v="10060" u="1"/>
        <n v="904" u="1"/>
        <n v="644" u="1"/>
        <n v="6920" u="1"/>
        <n v="377.2" u="1"/>
        <n v="21.46" u="1"/>
        <n v="5360" u="1"/>
        <n v="5100" u="1"/>
        <n v="721704.96299999999" u="1"/>
        <n v="4320" u="1"/>
        <n v="970" u="1"/>
        <n v="840" u="1"/>
        <n v="710" u="1"/>
        <n v="110" u="1"/>
        <n v="77.64" u="1"/>
        <n v="36.799999999999997" u="1"/>
        <n v="1960" u="1"/>
        <n v="42.96" u="1"/>
        <n v="96.48" u="1"/>
        <n v="712" u="1"/>
        <n v="5510" u="1"/>
        <n v="570.4" u="1"/>
      </sharedItems>
    </cacheField>
    <cacheField name="Market" numFmtId="0">
      <sharedItems containsBlank="1" count="41">
        <s v="PACIFIC ISLANDS"/>
        <s v="VANUATU"/>
        <s v="Australia"/>
        <s v="SINGAPORE"/>
        <s v="NEPAL"/>
        <s v="Taiwan"/>
        <s v="MALAYSIA"/>
        <s v="MALDIVES"/>
        <s v="PAPUA NEW GUINEA"/>
        <s v="TAIWAN DF - TW05"/>
        <s v="NEW ZEALAND"/>
        <s v="Indonesia Domestik"/>
        <s v="TONGA"/>
        <s v="EAST TIMOR"/>
        <s v="FRENCH POLYNESIA"/>
        <s v="MALAYSIA DF"/>
        <s v="PHILLIPINES DF - PH05"/>
        <s v="THAILAND"/>
        <s v="HONG KONG DF - HK05"/>
        <s v="HONG KONG"/>
        <s v="ASIA PACIFIC DF - DP05"/>
        <s v="NEW CALEDONIA"/>
        <s v="CAMBODIA"/>
        <s v="CHINA DF - CN05"/>
        <s v="LAOS"/>
        <s v="MACAU"/>
        <s v="FIJI"/>
        <s v="HK DF DEPARTURE - DH05"/>
        <s v="AUSTRALIA DF"/>
        <m/>
        <s v="Hongkong" u="1"/>
        <s v="KOREA DF - KR05" u="1"/>
        <s v="ARUBA" u="1"/>
        <s v="HONG KONG DF/HK05" u="1"/>
        <s v="NEW ZEALAND DF" u="1"/>
        <s v="Australia Domestik" u="1"/>
        <s v="CURACAO" u="1"/>
        <s v="PNG" u="1"/>
        <s v="PAPUA" u="1"/>
        <e v="#N/A" u="1"/>
        <s v="HONG KONG DF/DH05" u="1"/>
      </sharedItems>
    </cacheField>
    <cacheField name="week" numFmtId="164">
      <sharedItems containsBlank="1" count="473">
        <s v="028"/>
        <s v="018"/>
        <s v="030"/>
        <s v="021"/>
        <s v="019"/>
        <s v="015"/>
        <s v="004"/>
        <s v="023"/>
        <s v="017"/>
        <s v="011"/>
        <s v="022"/>
        <s v="013"/>
        <s v="020"/>
        <s v="037"/>
        <s v="040"/>
        <s v="016"/>
        <s v="014"/>
        <s v="025"/>
        <s v="048"/>
        <s v="010"/>
        <s v="012"/>
        <s v="050"/>
        <s v="003"/>
        <s v="001"/>
        <s v="002"/>
        <s v="009"/>
        <s v="005"/>
        <s v="041"/>
        <s v="046"/>
        <s v="038"/>
        <s v="045"/>
        <s v="008"/>
        <s v="007"/>
        <s v="053"/>
        <s v="051"/>
        <s v="006"/>
        <s v="042"/>
        <s v="044"/>
        <s v="043"/>
        <s v="049"/>
        <m/>
        <s v="" u="1"/>
        <s v="544" u="1"/>
        <s v="A23" u="1"/>
        <s v="C47" u="1"/>
        <s v="179" u="1"/>
        <s v="414" u="1"/>
        <s v="526" u="1"/>
        <s v="563" u="1"/>
        <s v="A05" u="1"/>
        <s v="A42" u="1"/>
        <s v="C29" u="1"/>
        <s v="545" u="1"/>
        <s v="A24" u="1"/>
        <s v="C48" u="1"/>
        <s v="340" u="1"/>
        <s v="527" u="1"/>
        <s v="911" u="1"/>
        <s v="A06" u="1"/>
        <s v="A43" u="1"/>
        <s v="F02" u="1"/>
        <s v="087" u="1"/>
        <s v="A25" u="1"/>
        <s v="C49" u="1"/>
        <s v="304" u="1"/>
        <s v="490" u="1"/>
        <s v="677" u="1"/>
        <s v="A07" u="1"/>
        <s v="A44" u="1"/>
        <s v="F03" u="1"/>
        <s v="A26" u="1"/>
        <s v="491" u="1"/>
        <s v="529" u="1"/>
        <s v="566" u="1"/>
        <s v="801" u="1"/>
        <s v="A08" u="1"/>
        <s v="A45" u="1"/>
        <s v="324" u="1"/>
        <s v="548" u="1"/>
        <s v="585" u="1"/>
        <s v="A27" u="1"/>
        <s v="231" u="1"/>
        <s v="380" u="1"/>
        <s v="418" u="1"/>
        <s v="567" u="1"/>
        <s v="802" u="1"/>
        <s v="A09" u="1"/>
        <s v="A46" u="1"/>
        <s v="213" u="1"/>
        <s v="549" u="1"/>
        <s v="586" u="1"/>
        <s v="A28" u="1"/>
        <s v="PC1" u="1"/>
        <s v="344" u="1"/>
        <s v="381" u="1"/>
        <s v="419" u="1"/>
        <s v="568" u="1"/>
        <s v="803" u="1"/>
        <s v="840" u="1"/>
        <s v="A47" u="1"/>
        <s v="102" u="1"/>
        <s v="587" u="1"/>
        <s v="934" u="1"/>
        <s v="A29" u="1"/>
        <s v="PC2" u="1"/>
        <s v="308" u="1"/>
        <s v="345" u="1"/>
        <s v="382" u="1"/>
        <s v="804" u="1"/>
        <s v="953" u="1"/>
        <s v="A48" u="1"/>
        <s v="215" u="1"/>
        <s v="588" u="1"/>
        <s v="823" u="1"/>
        <s v="935" u="1"/>
        <s v="972" u="1"/>
        <s v="PC3" u="1"/>
        <s v="309" u="1"/>
        <s v="346" u="1"/>
        <s v="805" u="1"/>
        <s v="842" u="1"/>
        <s v="917" u="1"/>
        <s v="991" u="1"/>
        <s v="A49" u="1"/>
        <s v="216" u="1"/>
        <s v="328" u="1"/>
        <s v="589" u="1"/>
        <s v="600" u="1"/>
        <s v="824" u="1"/>
        <s v="973" u="1"/>
        <s v="PC4" u="1"/>
        <s v="160" u="1"/>
        <s v="384" u="1"/>
        <s v="459" u="1"/>
        <s v="731" u="1"/>
        <s v="992" u="1"/>
        <s v="C10" u="1"/>
        <s v="105" u="1"/>
        <s v="217" u="1"/>
        <s v="291" u="1"/>
        <s v="366" u="1"/>
        <s v="478" u="1"/>
        <s v="601" u="1"/>
        <s v="750" u="1"/>
        <s v="825" u="1"/>
        <s v="862" u="1"/>
        <s v="974" u="1"/>
        <s v="PC5" u="1"/>
        <s v="385" u="1"/>
        <s v="497" u="1"/>
        <s v="993" u="1"/>
        <s v="C11" u="1"/>
        <s v="031" u="1"/>
        <s v="143" u="1"/>
        <s v="180" u="1"/>
        <s v="218" u="1"/>
        <s v="602" u="1"/>
        <s v="863" u="1"/>
        <s v="938" u="1"/>
        <s v="975" u="1"/>
        <s v="C30" u="1"/>
        <s v="PC6" u="1"/>
        <s v="162" u="1"/>
        <s v="386" u="1"/>
        <s v="498" u="1"/>
        <s v="994" u="1"/>
        <s v="C12" u="1"/>
        <s v="032" u="1"/>
        <s v="144" u="1"/>
        <s v="181" u="1"/>
        <s v="293" u="1"/>
        <s v="640" u="1"/>
        <s v="976" u="1"/>
        <s v="C31" u="1"/>
        <s v="PC7" u="1"/>
        <s v="499" u="1"/>
        <s v="771" u="1"/>
        <s v="995" u="1"/>
        <s v="C13" u="1"/>
        <s v="C50" u="1"/>
        <s v="033" u="1"/>
        <s v="145" u="1"/>
        <s v="182" u="1"/>
        <s v="294" u="1"/>
        <s v="790" u="1"/>
        <s v="C32" u="1"/>
        <s v="PC8" u="1"/>
        <s v="052" u="1"/>
        <s v="276" u="1"/>
        <s v="735" u="1"/>
        <s v="847" u="1"/>
        <s v="C14" u="1"/>
        <s v="C51" u="1"/>
        <s v="034" u="1"/>
        <s v="258" u="1"/>
        <s v="295" u="1"/>
        <s v="530" u="1"/>
        <s v="717" u="1"/>
        <s v="754" u="1"/>
        <s v="C33" u="1"/>
        <s v="PC9" u="1"/>
        <s v="090" u="1"/>
        <s v="661" u="1"/>
        <s v="848" u="1"/>
        <s v="997" u="1"/>
        <s v="C15" u="1"/>
        <s v="C52" u="1"/>
        <s v="035" u="1"/>
        <s v="531" u="1"/>
        <s v="643" u="1"/>
        <s v="755" u="1"/>
        <s v="A10" u="1"/>
        <s v="C34" u="1"/>
        <s v="054" u="1"/>
        <s v="513" u="1"/>
        <s v="550" u="1"/>
        <s v="625" u="1"/>
        <s v="998" u="1"/>
        <s v="C16" u="1"/>
        <s v="036" u="1"/>
        <s v="073" u="1"/>
        <s v="420" u="1"/>
        <s v="532" u="1"/>
        <s v="607" u="1"/>
        <s v="756" u="1"/>
        <s v="A11" u="1"/>
        <s v="C35" u="1"/>
        <s v="167" u="1"/>
        <s v="514" u="1"/>
        <s v="551" u="1"/>
        <s v="626" u="1"/>
        <s v="A30" u="1"/>
        <s v="C17" u="1"/>
        <s v="533" u="1"/>
        <s v="570" u="1"/>
        <s v="608" u="1"/>
        <s v="A12" u="1"/>
        <s v="C36" u="1"/>
        <s v="403" u="1"/>
        <s v="515" u="1"/>
        <s v="552" u="1"/>
        <s v="627" u="1"/>
        <s v="A31" u="1"/>
        <s v="C18" u="1"/>
        <s v="299" u="1"/>
        <s v="310" u="1"/>
        <s v="422" u="1"/>
        <s v="534" u="1"/>
        <s v="609" u="1"/>
        <s v="795" u="1"/>
        <s v="A13" u="1"/>
        <s v="A50" u="1"/>
        <s v="C37" u="1"/>
        <s v="404" u="1"/>
        <s v="516" u="1"/>
        <s v="590" u="1"/>
        <s v="628" u="1"/>
        <s v="A32" u="1"/>
        <s v="C19" u="1"/>
        <s v="039" u="1"/>
        <s v="076" u="1"/>
        <s v="311" u="1"/>
        <s v="423" u="1"/>
        <s v="535" u="1"/>
        <s v="572" u="1"/>
        <s v="796" u="1"/>
        <s v="A14" u="1"/>
        <s v="A51" u="1"/>
        <s v="C38" u="1"/>
        <s v="405" u="1"/>
        <s v="517" u="1"/>
        <s v="629" u="1"/>
        <s v="901" u="1"/>
        <s v="A33" u="1"/>
        <s v="QA1" u="1"/>
        <s v="200" u="1"/>
        <s v="312" u="1"/>
        <s v="424" u="1"/>
        <s v="536" u="1"/>
        <s v="573" u="1"/>
        <s v="797" u="1"/>
        <s v="A15" u="1"/>
        <s v="A52" u="1"/>
        <s v="C39" u="1"/>
        <s v="059" u="1"/>
        <s v="096" u="1"/>
        <s v="406" u="1"/>
        <s v="480" u="1"/>
        <s v="518" u="1"/>
        <s v="555" u="1"/>
        <s v="667" u="1"/>
        <s v="902" u="1"/>
        <s v="A34" u="1"/>
        <s v="QA2" u="1"/>
        <s v="350" u="1"/>
        <s v="537" u="1"/>
        <s v="574" u="1"/>
        <s v="649" u="1"/>
        <s v="798" u="1"/>
        <s v="A16" u="1"/>
        <s v="481" u="1"/>
        <s v="519" u="1"/>
        <s v="556" u="1"/>
        <s v="593" u="1"/>
        <s v="A35" u="1"/>
        <s v="QA3" u="1"/>
        <s v="314" u="1"/>
        <s v="351" u="1"/>
        <s v="538" u="1"/>
        <s v="575" u="1"/>
        <s v="799" u="1"/>
        <s v="810" u="1"/>
        <s v="A17" u="1"/>
        <s v="482" u="1"/>
        <s v="A36" u="1"/>
        <s v="QA4" u="1"/>
        <s v="315" u="1"/>
        <s v="352" u="1"/>
        <s v="427" u="1"/>
        <s v="539" u="1"/>
        <s v="576" u="1"/>
        <s v="811" u="1"/>
        <s v="A18" u="1"/>
        <s v="110" u="1"/>
        <s v="409" u="1"/>
        <s v="483" u="1"/>
        <s v="595" u="1"/>
        <s v="A37" u="1"/>
        <s v="QA5" u="1"/>
        <s v="316" u="1"/>
        <s v="353" u="1"/>
        <s v="577" u="1"/>
        <s v="700" u="1"/>
        <s v="812" u="1"/>
        <s v="A19" u="1"/>
        <s v="111" u="1"/>
        <s v="980" u="1"/>
        <s v="A38" u="1"/>
        <s v="QA6" u="1"/>
        <s v="578" u="1"/>
        <s v="701" u="1"/>
        <s v="000" u="1"/>
        <s v="261" u="1"/>
        <s v="336" u="1"/>
        <s v="832" u="1"/>
        <s v="A39" u="1"/>
        <s v="QA7" u="1"/>
        <s v="243" u="1"/>
        <s v="280" u="1"/>
        <s v="579" u="1"/>
        <s v="702" u="1"/>
        <s v="963" u="1"/>
        <s v="225" u="1"/>
        <s v="337" u="1"/>
        <s v="598" u="1"/>
        <s v="833" u="1"/>
        <s v="908" u="1"/>
        <s v="982" u="1"/>
        <s v="QA8" u="1"/>
        <s v="244" u="1"/>
        <s v="703" u="1"/>
        <s v="740" u="1"/>
        <s v="815" u="1"/>
        <s v="964" u="1"/>
        <s v="263" u="1"/>
        <s v="338" u="1"/>
        <s v="599" u="1"/>
        <s v="946" u="1"/>
        <s v="C01" u="1"/>
        <s v="QA9" u="1"/>
        <s v="170" u="1"/>
        <s v="704" u="1"/>
        <s v="741" u="1"/>
        <s v="816" u="1"/>
        <s v="890" u="1"/>
        <s v="C20" u="1"/>
        <s v="264" u="1"/>
        <s v="339" u="1"/>
        <s v="872" u="1"/>
        <s v="C02" u="1"/>
        <s v="630" u="1"/>
        <s v="705" u="1"/>
        <s v="817" u="1"/>
        <s v="891" u="1"/>
        <s v="966" u="1"/>
        <s v="C21" u="1"/>
        <s v="153" u="1"/>
        <s v="228" u="1"/>
        <s v="489" u="1"/>
        <s v="C03" u="1"/>
        <s v="C40" u="1"/>
        <s v="631" u="1"/>
        <s v="892" u="1"/>
        <s v="967" u="1"/>
        <s v="C22" u="1"/>
        <s v="378" u="1"/>
        <s v="501" u="1"/>
        <s v="650" u="1"/>
        <s v="949" u="1"/>
        <s v="C04" u="1"/>
        <s v="C41" u="1"/>
        <s v="024" u="1"/>
        <s v="520" u="1"/>
        <s v="C23" u="1"/>
        <s v="155" u="1"/>
        <s v="267" u="1"/>
        <s v="379" u="1"/>
        <s v="502" u="1"/>
        <s v="651" u="1"/>
        <s v="875" u="1"/>
        <s v="987" u="1"/>
        <s v="C05" u="1"/>
        <s v="C42" u="1"/>
        <s v="PI" u="1"/>
        <s v="062" u="1"/>
        <s v="398" u="1"/>
        <s v="521" u="1"/>
        <s v="745" u="1"/>
        <s v="C24" u="1"/>
        <s v="503" u="1"/>
        <s v="540" u="1"/>
        <s v="652" u="1"/>
        <s v="727" u="1"/>
        <s v="876" u="1"/>
        <s v="C06" u="1"/>
        <s v="C43" u="1"/>
        <s v="026" u="1"/>
        <s v="399" u="1"/>
        <s v="522" u="1"/>
        <s v="A01" u="1"/>
        <s v="C25" u="1"/>
        <s v="082" u="1"/>
        <s v="504" u="1"/>
        <s v="541" u="1"/>
        <s v="653" u="1"/>
        <s v="690" u="1"/>
        <s v="877" u="1"/>
        <s v="A20" u="1"/>
        <s v="C07" u="1"/>
        <s v="C44" u="1"/>
        <s v="027" u="1"/>
        <s v="523" u="1"/>
        <s v="A02" u="1"/>
        <s v="C26" u="1"/>
        <s v="542" u="1"/>
        <s v="654" u="1"/>
        <s v="729" u="1"/>
        <s v="A21" u="1"/>
        <s v="C08" u="1"/>
        <s v="C45" u="1"/>
        <s v="300" u="1"/>
        <s v="524" u="1"/>
        <s v="897" u="1"/>
        <s v="A03" u="1"/>
        <s v="A40" u="1"/>
        <s v="C27" u="1"/>
        <s v="047" u="1"/>
        <s v="084" u="1"/>
        <s v="543" u="1"/>
        <s v="580" u="1"/>
        <s v="655" u="1"/>
        <s v="A22" u="1"/>
        <s v="C09" u="1"/>
        <s v="C46" u="1"/>
        <s v="029" u="1"/>
        <s v="066" u="1"/>
        <s v="178" u="1"/>
        <s v="301" u="1"/>
        <s v="525" u="1"/>
        <s v="749" u="1"/>
        <s v="A04" u="1"/>
        <s v="A41" u="1"/>
        <s v="C28" u="1"/>
      </sharedItems>
    </cacheField>
    <cacheField name="Year" numFmtId="164">
      <sharedItems containsBlank="1" count="8">
        <s v="PI-2017"/>
        <s v="PI-2018"/>
        <s v="PI-2016"/>
        <s v="PI-2015"/>
        <m/>
        <s v="" u="1"/>
        <s v="PI-PC00" u="1"/>
        <s v="PI-QA00" u="1"/>
      </sharedItems>
    </cacheField>
    <cacheField name="Warehouse" numFmtId="164">
      <sharedItems containsBlank="1" count="4">
        <s v="Lot 17"/>
        <s v="Lot 41"/>
        <s v="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20">
  <r>
    <s v=""/>
    <x v="0"/>
    <x v="0"/>
    <x v="0"/>
    <x v="0"/>
    <s v="CS"/>
    <s v="PI-2017028"/>
    <n v="14"/>
    <n v="0"/>
    <n v="0"/>
    <x v="0"/>
    <x v="0"/>
    <x v="0"/>
    <x v="0"/>
    <x v="0"/>
  </r>
  <r>
    <s v=""/>
    <x v="0"/>
    <x v="0"/>
    <x v="0"/>
    <x v="0"/>
    <s v="CS"/>
    <s v="PI-2018018"/>
    <n v="28"/>
    <n v="0"/>
    <n v="0"/>
    <x v="1"/>
    <x v="0"/>
    <x v="1"/>
    <x v="1"/>
    <x v="0"/>
  </r>
  <r>
    <s v=""/>
    <x v="0"/>
    <x v="1"/>
    <x v="1"/>
    <x v="0"/>
    <s v="CS"/>
    <s v="PI-2017028"/>
    <n v="1"/>
    <n v="0"/>
    <n v="0"/>
    <x v="2"/>
    <x v="0"/>
    <x v="0"/>
    <x v="0"/>
    <x v="1"/>
  </r>
  <r>
    <s v=""/>
    <x v="0"/>
    <x v="1"/>
    <x v="1"/>
    <x v="0"/>
    <s v="CS"/>
    <s v="PI-2017030"/>
    <n v="1"/>
    <n v="0"/>
    <n v="0"/>
    <x v="2"/>
    <x v="0"/>
    <x v="2"/>
    <x v="0"/>
    <x v="1"/>
  </r>
  <r>
    <s v=""/>
    <x v="0"/>
    <x v="1"/>
    <x v="2"/>
    <x v="0"/>
    <s v="CS"/>
    <s v="PI-2018021"/>
    <n v="0"/>
    <n v="1"/>
    <n v="0"/>
    <x v="2"/>
    <x v="0"/>
    <x v="3"/>
    <x v="1"/>
    <x v="1"/>
  </r>
  <r>
    <s v=""/>
    <x v="0"/>
    <x v="1"/>
    <x v="3"/>
    <x v="0"/>
    <s v="CS"/>
    <s v="PI-2018018"/>
    <n v="30"/>
    <n v="0"/>
    <n v="0"/>
    <x v="3"/>
    <x v="0"/>
    <x v="1"/>
    <x v="1"/>
    <x v="0"/>
  </r>
  <r>
    <s v=""/>
    <x v="1"/>
    <x v="0"/>
    <x v="0"/>
    <x v="1"/>
    <s v="CS"/>
    <s v="PI-2018021"/>
    <n v="3"/>
    <n v="0"/>
    <n v="0"/>
    <x v="4"/>
    <x v="0"/>
    <x v="3"/>
    <x v="1"/>
    <x v="0"/>
  </r>
  <r>
    <s v=""/>
    <x v="2"/>
    <x v="0"/>
    <x v="0"/>
    <x v="2"/>
    <s v="CS"/>
    <s v="PI-2018021"/>
    <n v="1"/>
    <n v="0"/>
    <n v="0"/>
    <x v="2"/>
    <x v="1"/>
    <x v="3"/>
    <x v="1"/>
    <x v="0"/>
  </r>
  <r>
    <s v=""/>
    <x v="2"/>
    <x v="1"/>
    <x v="1"/>
    <x v="2"/>
    <s v="CS"/>
    <s v="PI-2018019"/>
    <n v="0"/>
    <n v="0"/>
    <n v="2"/>
    <x v="5"/>
    <x v="1"/>
    <x v="4"/>
    <x v="1"/>
    <x v="1"/>
  </r>
  <r>
    <s v=""/>
    <x v="3"/>
    <x v="0"/>
    <x v="0"/>
    <x v="0"/>
    <s v="CS"/>
    <s v="PI-2018021"/>
    <n v="2"/>
    <n v="0"/>
    <n v="0"/>
    <x v="5"/>
    <x v="1"/>
    <x v="3"/>
    <x v="1"/>
    <x v="0"/>
  </r>
  <r>
    <s v=""/>
    <x v="3"/>
    <x v="1"/>
    <x v="1"/>
    <x v="0"/>
    <s v="CS"/>
    <s v="PI-2018015"/>
    <n v="0"/>
    <n v="0"/>
    <n v="1"/>
    <x v="2"/>
    <x v="1"/>
    <x v="5"/>
    <x v="1"/>
    <x v="1"/>
  </r>
  <r>
    <s v=""/>
    <x v="4"/>
    <x v="0"/>
    <x v="0"/>
    <x v="1"/>
    <s v="CS"/>
    <s v="PI-2018018"/>
    <n v="1"/>
    <n v="0"/>
    <n v="0"/>
    <x v="2"/>
    <x v="1"/>
    <x v="1"/>
    <x v="1"/>
    <x v="0"/>
  </r>
  <r>
    <s v=""/>
    <x v="4"/>
    <x v="0"/>
    <x v="0"/>
    <x v="1"/>
    <s v="CS"/>
    <s v="PI-2018021"/>
    <n v="1"/>
    <n v="0"/>
    <n v="0"/>
    <x v="2"/>
    <x v="1"/>
    <x v="3"/>
    <x v="1"/>
    <x v="0"/>
  </r>
  <r>
    <s v=""/>
    <x v="5"/>
    <x v="1"/>
    <x v="1"/>
    <x v="3"/>
    <s v="CS"/>
    <s v="PI-2018004"/>
    <n v="0"/>
    <n v="0"/>
    <n v="60"/>
    <x v="6"/>
    <x v="2"/>
    <x v="6"/>
    <x v="1"/>
    <x v="1"/>
  </r>
  <r>
    <s v=""/>
    <x v="6"/>
    <x v="1"/>
    <x v="3"/>
    <x v="4"/>
    <s v="CS"/>
    <s v="PI-2018018"/>
    <n v="1"/>
    <n v="0"/>
    <n v="0"/>
    <x v="2"/>
    <x v="2"/>
    <x v="1"/>
    <x v="1"/>
    <x v="0"/>
  </r>
  <r>
    <s v=""/>
    <x v="7"/>
    <x v="0"/>
    <x v="0"/>
    <x v="5"/>
    <s v="CS"/>
    <s v="PI-2018023"/>
    <n v="1133"/>
    <n v="0"/>
    <n v="0"/>
    <x v="7"/>
    <x v="2"/>
    <x v="7"/>
    <x v="1"/>
    <x v="0"/>
  </r>
  <r>
    <s v=""/>
    <x v="7"/>
    <x v="1"/>
    <x v="4"/>
    <x v="5"/>
    <s v="CS"/>
    <s v="PI-2018023"/>
    <n v="694"/>
    <n v="0"/>
    <n v="0"/>
    <x v="8"/>
    <x v="2"/>
    <x v="7"/>
    <x v="1"/>
    <x v="0"/>
  </r>
  <r>
    <s v=""/>
    <x v="7"/>
    <x v="1"/>
    <x v="3"/>
    <x v="5"/>
    <s v="CS"/>
    <s v="PI-2018017"/>
    <n v="1"/>
    <n v="0"/>
    <n v="0"/>
    <x v="2"/>
    <x v="2"/>
    <x v="8"/>
    <x v="1"/>
    <x v="0"/>
  </r>
  <r>
    <s v=""/>
    <x v="8"/>
    <x v="0"/>
    <x v="0"/>
    <x v="6"/>
    <s v="CS"/>
    <s v="PI-2018023"/>
    <n v="480"/>
    <n v="0"/>
    <n v="0"/>
    <x v="9"/>
    <x v="2"/>
    <x v="7"/>
    <x v="1"/>
    <x v="0"/>
  </r>
  <r>
    <s v=""/>
    <x v="8"/>
    <x v="1"/>
    <x v="4"/>
    <x v="6"/>
    <s v="CS"/>
    <s v="PI-2018023"/>
    <n v="48"/>
    <n v="0"/>
    <n v="0"/>
    <x v="10"/>
    <x v="2"/>
    <x v="7"/>
    <x v="1"/>
    <x v="0"/>
  </r>
  <r>
    <s v=""/>
    <x v="8"/>
    <x v="1"/>
    <x v="5"/>
    <x v="6"/>
    <s v="CS"/>
    <s v="PI-2018023"/>
    <n v="1770"/>
    <n v="0"/>
    <n v="0"/>
    <x v="11"/>
    <x v="2"/>
    <x v="7"/>
    <x v="1"/>
    <x v="1"/>
  </r>
  <r>
    <s v=""/>
    <x v="8"/>
    <x v="1"/>
    <x v="2"/>
    <x v="6"/>
    <s v="CS"/>
    <s v="PI-2018011"/>
    <n v="0"/>
    <n v="8"/>
    <n v="0"/>
    <x v="12"/>
    <x v="2"/>
    <x v="9"/>
    <x v="1"/>
    <x v="1"/>
  </r>
  <r>
    <s v=""/>
    <x v="8"/>
    <x v="1"/>
    <x v="2"/>
    <x v="6"/>
    <s v="CS"/>
    <s v="PI-2018023"/>
    <n v="48"/>
    <n v="0"/>
    <n v="0"/>
    <x v="10"/>
    <x v="2"/>
    <x v="7"/>
    <x v="1"/>
    <x v="1"/>
  </r>
  <r>
    <s v=""/>
    <x v="9"/>
    <x v="0"/>
    <x v="0"/>
    <x v="7"/>
    <s v="CS"/>
    <s v="PI-2018021"/>
    <n v="22"/>
    <n v="0"/>
    <n v="0"/>
    <x v="13"/>
    <x v="2"/>
    <x v="3"/>
    <x v="1"/>
    <x v="0"/>
  </r>
  <r>
    <s v=""/>
    <x v="9"/>
    <x v="0"/>
    <x v="0"/>
    <x v="7"/>
    <s v="CS"/>
    <s v="PI-2018022"/>
    <n v="372"/>
    <n v="0"/>
    <n v="0"/>
    <x v="14"/>
    <x v="2"/>
    <x v="10"/>
    <x v="1"/>
    <x v="0"/>
  </r>
  <r>
    <s v=""/>
    <x v="9"/>
    <x v="0"/>
    <x v="0"/>
    <x v="7"/>
    <s v="CS"/>
    <s v="PI-2018023"/>
    <n v="962"/>
    <n v="0"/>
    <n v="0"/>
    <x v="15"/>
    <x v="2"/>
    <x v="7"/>
    <x v="1"/>
    <x v="0"/>
  </r>
  <r>
    <s v=""/>
    <x v="9"/>
    <x v="1"/>
    <x v="4"/>
    <x v="7"/>
    <s v="CS"/>
    <s v="PI-2018023"/>
    <n v="922"/>
    <n v="0"/>
    <n v="0"/>
    <x v="16"/>
    <x v="2"/>
    <x v="7"/>
    <x v="1"/>
    <x v="0"/>
  </r>
  <r>
    <s v=""/>
    <x v="9"/>
    <x v="1"/>
    <x v="2"/>
    <x v="7"/>
    <s v="CS"/>
    <s v="PI-2018022"/>
    <n v="0"/>
    <n v="47"/>
    <n v="0"/>
    <x v="17"/>
    <x v="2"/>
    <x v="10"/>
    <x v="1"/>
    <x v="1"/>
  </r>
  <r>
    <s v=""/>
    <x v="10"/>
    <x v="1"/>
    <x v="6"/>
    <x v="8"/>
    <s v="CS"/>
    <s v="PI-2016015"/>
    <n v="0.108"/>
    <n v="0"/>
    <n v="1.2E-2"/>
    <x v="18"/>
    <x v="3"/>
    <x v="5"/>
    <x v="2"/>
    <x v="2"/>
  </r>
  <r>
    <s v=""/>
    <x v="11"/>
    <x v="1"/>
    <x v="1"/>
    <x v="9"/>
    <s v="CS"/>
    <s v="PI-2018013"/>
    <n v="0"/>
    <n v="0"/>
    <n v="3"/>
    <x v="4"/>
    <x v="4"/>
    <x v="11"/>
    <x v="1"/>
    <x v="1"/>
  </r>
  <r>
    <s v=""/>
    <x v="12"/>
    <x v="0"/>
    <x v="0"/>
    <x v="10"/>
    <s v="CS"/>
    <s v="PI-2018022"/>
    <n v="663"/>
    <n v="0"/>
    <n v="0"/>
    <x v="19"/>
    <x v="2"/>
    <x v="10"/>
    <x v="1"/>
    <x v="0"/>
  </r>
  <r>
    <s v=""/>
    <x v="12"/>
    <x v="0"/>
    <x v="0"/>
    <x v="10"/>
    <s v="CS"/>
    <s v="PI-2018023"/>
    <n v="1114"/>
    <n v="0"/>
    <n v="0"/>
    <x v="20"/>
    <x v="2"/>
    <x v="7"/>
    <x v="1"/>
    <x v="0"/>
  </r>
  <r>
    <s v=""/>
    <x v="13"/>
    <x v="0"/>
    <x v="0"/>
    <x v="11"/>
    <s v="CS"/>
    <s v="PI-2018020"/>
    <n v="1"/>
    <n v="0"/>
    <n v="0"/>
    <x v="2"/>
    <x v="5"/>
    <x v="12"/>
    <x v="1"/>
    <x v="0"/>
  </r>
  <r>
    <s v=""/>
    <x v="14"/>
    <x v="0"/>
    <x v="0"/>
    <x v="12"/>
    <s v="CS"/>
    <s v="PI-2018020"/>
    <n v="1"/>
    <n v="0"/>
    <n v="0"/>
    <x v="2"/>
    <x v="5"/>
    <x v="12"/>
    <x v="1"/>
    <x v="0"/>
  </r>
  <r>
    <s v=""/>
    <x v="15"/>
    <x v="0"/>
    <x v="0"/>
    <x v="13"/>
    <s v="CS"/>
    <s v="PI-2018023"/>
    <n v="16"/>
    <n v="0"/>
    <n v="0"/>
    <x v="21"/>
    <x v="6"/>
    <x v="7"/>
    <x v="1"/>
    <x v="0"/>
  </r>
  <r>
    <s v=""/>
    <x v="15"/>
    <x v="1"/>
    <x v="5"/>
    <x v="13"/>
    <s v="CS"/>
    <s v="PI-2018023"/>
    <n v="20"/>
    <n v="0"/>
    <n v="0"/>
    <x v="22"/>
    <x v="6"/>
    <x v="7"/>
    <x v="1"/>
    <x v="1"/>
  </r>
  <r>
    <s v=""/>
    <x v="16"/>
    <x v="0"/>
    <x v="0"/>
    <x v="14"/>
    <s v="CS"/>
    <s v="PI-2018018"/>
    <n v="128"/>
    <n v="0"/>
    <n v="0"/>
    <x v="23"/>
    <x v="7"/>
    <x v="1"/>
    <x v="1"/>
    <x v="0"/>
  </r>
  <r>
    <s v=""/>
    <x v="16"/>
    <x v="1"/>
    <x v="7"/>
    <x v="14"/>
    <s v="CS"/>
    <s v="PI-2017037"/>
    <n v="0"/>
    <n v="0"/>
    <n v="1"/>
    <x v="2"/>
    <x v="7"/>
    <x v="13"/>
    <x v="0"/>
    <x v="2"/>
  </r>
  <r>
    <s v=""/>
    <x v="16"/>
    <x v="1"/>
    <x v="7"/>
    <x v="14"/>
    <s v="CS"/>
    <s v="PI-2017040"/>
    <n v="0"/>
    <n v="0"/>
    <n v="1"/>
    <x v="2"/>
    <x v="7"/>
    <x v="14"/>
    <x v="0"/>
    <x v="2"/>
  </r>
  <r>
    <s v=""/>
    <x v="16"/>
    <x v="1"/>
    <x v="3"/>
    <x v="14"/>
    <s v="CS"/>
    <s v="PI-2018018"/>
    <n v="1"/>
    <n v="0"/>
    <n v="0"/>
    <x v="2"/>
    <x v="7"/>
    <x v="1"/>
    <x v="1"/>
    <x v="0"/>
  </r>
  <r>
    <s v=""/>
    <x v="17"/>
    <x v="0"/>
    <x v="0"/>
    <x v="15"/>
    <s v="CS"/>
    <s v="PI-2018023"/>
    <n v="50"/>
    <n v="0"/>
    <n v="0"/>
    <x v="24"/>
    <x v="2"/>
    <x v="7"/>
    <x v="1"/>
    <x v="0"/>
  </r>
  <r>
    <s v=""/>
    <x v="17"/>
    <x v="1"/>
    <x v="5"/>
    <x v="15"/>
    <s v="CS"/>
    <s v="PI-2018023"/>
    <n v="607"/>
    <n v="0"/>
    <n v="0"/>
    <x v="25"/>
    <x v="2"/>
    <x v="7"/>
    <x v="1"/>
    <x v="1"/>
  </r>
  <r>
    <s v=""/>
    <x v="17"/>
    <x v="1"/>
    <x v="2"/>
    <x v="15"/>
    <s v="CS"/>
    <s v="PI-2018023"/>
    <n v="7"/>
    <n v="0"/>
    <n v="0"/>
    <x v="26"/>
    <x v="2"/>
    <x v="7"/>
    <x v="1"/>
    <x v="1"/>
  </r>
  <r>
    <s v=""/>
    <x v="18"/>
    <x v="0"/>
    <x v="0"/>
    <x v="16"/>
    <s v="CS"/>
    <s v="PI-2018023"/>
    <n v="370"/>
    <n v="0"/>
    <n v="0"/>
    <x v="27"/>
    <x v="2"/>
    <x v="7"/>
    <x v="1"/>
    <x v="0"/>
  </r>
  <r>
    <s v=""/>
    <x v="19"/>
    <x v="0"/>
    <x v="0"/>
    <x v="17"/>
    <s v="CS"/>
    <s v="PI-2018023"/>
    <n v="291"/>
    <n v="0"/>
    <n v="0"/>
    <x v="28"/>
    <x v="2"/>
    <x v="7"/>
    <x v="1"/>
    <x v="0"/>
  </r>
  <r>
    <s v=""/>
    <x v="19"/>
    <x v="1"/>
    <x v="2"/>
    <x v="17"/>
    <s v="CS"/>
    <s v="PI-2018023"/>
    <n v="11"/>
    <n v="0"/>
    <n v="0"/>
    <x v="29"/>
    <x v="2"/>
    <x v="7"/>
    <x v="1"/>
    <x v="1"/>
  </r>
  <r>
    <s v=""/>
    <x v="20"/>
    <x v="0"/>
    <x v="0"/>
    <x v="18"/>
    <s v="CS"/>
    <s v="PI-2018020"/>
    <n v="3"/>
    <n v="0"/>
    <n v="0"/>
    <x v="4"/>
    <x v="2"/>
    <x v="12"/>
    <x v="1"/>
    <x v="0"/>
  </r>
  <r>
    <s v=""/>
    <x v="20"/>
    <x v="0"/>
    <x v="0"/>
    <x v="18"/>
    <s v="CS"/>
    <s v="PI-2018023"/>
    <n v="1553"/>
    <n v="0"/>
    <n v="0"/>
    <x v="30"/>
    <x v="2"/>
    <x v="7"/>
    <x v="1"/>
    <x v="0"/>
  </r>
  <r>
    <s v=""/>
    <x v="20"/>
    <x v="1"/>
    <x v="4"/>
    <x v="18"/>
    <s v="CS"/>
    <s v="PI-2018023"/>
    <n v="885"/>
    <n v="0"/>
    <n v="0"/>
    <x v="31"/>
    <x v="2"/>
    <x v="7"/>
    <x v="1"/>
    <x v="0"/>
  </r>
  <r>
    <s v=""/>
    <x v="20"/>
    <x v="1"/>
    <x v="1"/>
    <x v="18"/>
    <s v="CS"/>
    <s v="PI-2018013"/>
    <n v="1"/>
    <n v="0"/>
    <n v="0"/>
    <x v="2"/>
    <x v="2"/>
    <x v="11"/>
    <x v="1"/>
    <x v="1"/>
  </r>
  <r>
    <s v=""/>
    <x v="20"/>
    <x v="1"/>
    <x v="2"/>
    <x v="18"/>
    <s v="CS"/>
    <s v="PI-2018016"/>
    <n v="0"/>
    <n v="1"/>
    <n v="0"/>
    <x v="2"/>
    <x v="2"/>
    <x v="15"/>
    <x v="1"/>
    <x v="1"/>
  </r>
  <r>
    <s v=""/>
    <x v="21"/>
    <x v="1"/>
    <x v="4"/>
    <x v="19"/>
    <s v="CS"/>
    <s v="PI-2018023"/>
    <n v="2117"/>
    <n v="0"/>
    <n v="0"/>
    <x v="32"/>
    <x v="2"/>
    <x v="7"/>
    <x v="1"/>
    <x v="0"/>
  </r>
  <r>
    <s v=""/>
    <x v="21"/>
    <x v="1"/>
    <x v="5"/>
    <x v="19"/>
    <s v="CS"/>
    <s v="PI-2018023"/>
    <n v="2147"/>
    <n v="0"/>
    <n v="0"/>
    <x v="33"/>
    <x v="2"/>
    <x v="7"/>
    <x v="1"/>
    <x v="1"/>
  </r>
  <r>
    <s v=""/>
    <x v="21"/>
    <x v="1"/>
    <x v="2"/>
    <x v="19"/>
    <s v="CS"/>
    <s v="PI-2018023"/>
    <n v="51"/>
    <n v="0"/>
    <n v="0"/>
    <x v="34"/>
    <x v="2"/>
    <x v="7"/>
    <x v="1"/>
    <x v="1"/>
  </r>
  <r>
    <s v=""/>
    <x v="21"/>
    <x v="1"/>
    <x v="3"/>
    <x v="19"/>
    <s v="CS"/>
    <s v="PI-2018023"/>
    <n v="65"/>
    <n v="0"/>
    <n v="0"/>
    <x v="35"/>
    <x v="2"/>
    <x v="7"/>
    <x v="1"/>
    <x v="0"/>
  </r>
  <r>
    <s v=""/>
    <x v="22"/>
    <x v="0"/>
    <x v="0"/>
    <x v="20"/>
    <s v="CS"/>
    <s v="PI-2018023"/>
    <n v="752"/>
    <n v="0"/>
    <n v="0"/>
    <x v="36"/>
    <x v="2"/>
    <x v="7"/>
    <x v="1"/>
    <x v="0"/>
  </r>
  <r>
    <s v=""/>
    <x v="23"/>
    <x v="0"/>
    <x v="0"/>
    <x v="21"/>
    <s v="CS"/>
    <s v="PI-2018018"/>
    <n v="1"/>
    <n v="0"/>
    <n v="0"/>
    <x v="2"/>
    <x v="7"/>
    <x v="1"/>
    <x v="1"/>
    <x v="0"/>
  </r>
  <r>
    <s v=""/>
    <x v="23"/>
    <x v="0"/>
    <x v="0"/>
    <x v="21"/>
    <s v="CS"/>
    <s v="PI-2018021"/>
    <n v="30"/>
    <n v="0"/>
    <n v="0"/>
    <x v="3"/>
    <x v="7"/>
    <x v="3"/>
    <x v="1"/>
    <x v="0"/>
  </r>
  <r>
    <s v=""/>
    <x v="24"/>
    <x v="1"/>
    <x v="2"/>
    <x v="22"/>
    <s v="CS"/>
    <s v="PI-2018014"/>
    <n v="1"/>
    <n v="0"/>
    <n v="0"/>
    <x v="2"/>
    <x v="6"/>
    <x v="16"/>
    <x v="1"/>
    <x v="1"/>
  </r>
  <r>
    <s v=""/>
    <x v="25"/>
    <x v="0"/>
    <x v="0"/>
    <x v="22"/>
    <s v="CS"/>
    <s v="PI-2018018"/>
    <n v="2"/>
    <n v="0"/>
    <n v="0"/>
    <x v="5"/>
    <x v="6"/>
    <x v="1"/>
    <x v="1"/>
    <x v="0"/>
  </r>
  <r>
    <s v=""/>
    <x v="25"/>
    <x v="0"/>
    <x v="0"/>
    <x v="22"/>
    <s v="CS"/>
    <s v="PI-2018022"/>
    <n v="295"/>
    <n v="0"/>
    <n v="0"/>
    <x v="37"/>
    <x v="6"/>
    <x v="10"/>
    <x v="1"/>
    <x v="0"/>
  </r>
  <r>
    <s v=""/>
    <x v="26"/>
    <x v="1"/>
    <x v="5"/>
    <x v="0"/>
    <s v="CS"/>
    <s v="PI-2017025"/>
    <n v="11"/>
    <n v="0"/>
    <n v="0"/>
    <x v="29"/>
    <x v="8"/>
    <x v="17"/>
    <x v="0"/>
    <x v="1"/>
  </r>
  <r>
    <s v=""/>
    <x v="27"/>
    <x v="1"/>
    <x v="4"/>
    <x v="23"/>
    <s v="CS"/>
    <s v="PI-2018023"/>
    <n v="316"/>
    <n v="0"/>
    <n v="0"/>
    <x v="38"/>
    <x v="3"/>
    <x v="7"/>
    <x v="1"/>
    <x v="0"/>
  </r>
  <r>
    <s v=""/>
    <x v="27"/>
    <x v="1"/>
    <x v="5"/>
    <x v="23"/>
    <s v="CS"/>
    <s v="PI-2018023"/>
    <n v="90"/>
    <n v="0"/>
    <n v="0"/>
    <x v="39"/>
    <x v="3"/>
    <x v="7"/>
    <x v="1"/>
    <x v="1"/>
  </r>
  <r>
    <s v=""/>
    <x v="28"/>
    <x v="0"/>
    <x v="0"/>
    <x v="24"/>
    <s v="CS"/>
    <s v="PI-2018022"/>
    <n v="90"/>
    <n v="0"/>
    <n v="0"/>
    <x v="39"/>
    <x v="9"/>
    <x v="10"/>
    <x v="1"/>
    <x v="0"/>
  </r>
  <r>
    <s v=""/>
    <x v="28"/>
    <x v="1"/>
    <x v="3"/>
    <x v="24"/>
    <s v="CS"/>
    <s v="PI-2018022"/>
    <n v="12"/>
    <n v="0"/>
    <n v="0"/>
    <x v="40"/>
    <x v="9"/>
    <x v="10"/>
    <x v="1"/>
    <x v="0"/>
  </r>
  <r>
    <s v=""/>
    <x v="29"/>
    <x v="0"/>
    <x v="0"/>
    <x v="25"/>
    <s v="CS"/>
    <s v="PI-2018022"/>
    <n v="44"/>
    <n v="0"/>
    <n v="0"/>
    <x v="41"/>
    <x v="9"/>
    <x v="10"/>
    <x v="1"/>
    <x v="0"/>
  </r>
  <r>
    <s v=""/>
    <x v="29"/>
    <x v="1"/>
    <x v="3"/>
    <x v="25"/>
    <s v="CS"/>
    <s v="PI-2018014"/>
    <n v="1"/>
    <n v="0"/>
    <n v="0"/>
    <x v="2"/>
    <x v="9"/>
    <x v="16"/>
    <x v="1"/>
    <x v="0"/>
  </r>
  <r>
    <s v=""/>
    <x v="29"/>
    <x v="1"/>
    <x v="3"/>
    <x v="25"/>
    <s v="CS"/>
    <s v="PI-2018022"/>
    <n v="5"/>
    <n v="0"/>
    <n v="0"/>
    <x v="42"/>
    <x v="9"/>
    <x v="10"/>
    <x v="1"/>
    <x v="0"/>
  </r>
  <r>
    <s v=""/>
    <x v="30"/>
    <x v="1"/>
    <x v="4"/>
    <x v="26"/>
    <s v="CS"/>
    <s v="PI-2018022"/>
    <n v="377"/>
    <n v="0"/>
    <n v="0"/>
    <x v="43"/>
    <x v="3"/>
    <x v="10"/>
    <x v="1"/>
    <x v="0"/>
  </r>
  <r>
    <s v=""/>
    <x v="31"/>
    <x v="0"/>
    <x v="0"/>
    <x v="27"/>
    <s v="CS"/>
    <s v="PI-2018014"/>
    <n v="20"/>
    <n v="0"/>
    <n v="0"/>
    <x v="22"/>
    <x v="10"/>
    <x v="16"/>
    <x v="1"/>
    <x v="0"/>
  </r>
  <r>
    <s v=""/>
    <x v="31"/>
    <x v="1"/>
    <x v="4"/>
    <x v="27"/>
    <s v="CS"/>
    <s v="PI-2018014"/>
    <n v="90"/>
    <n v="0"/>
    <n v="0"/>
    <x v="39"/>
    <x v="10"/>
    <x v="16"/>
    <x v="1"/>
    <x v="0"/>
  </r>
  <r>
    <s v=""/>
    <x v="31"/>
    <x v="1"/>
    <x v="3"/>
    <x v="27"/>
    <s v="CS"/>
    <s v="PI-2018014"/>
    <n v="15"/>
    <n v="0"/>
    <n v="0"/>
    <x v="44"/>
    <x v="10"/>
    <x v="16"/>
    <x v="1"/>
    <x v="0"/>
  </r>
  <r>
    <s v=""/>
    <x v="32"/>
    <x v="1"/>
    <x v="5"/>
    <x v="21"/>
    <s v="CS"/>
    <s v="PI-2017048"/>
    <n v="3"/>
    <n v="0"/>
    <n v="0"/>
    <x v="4"/>
    <x v="11"/>
    <x v="18"/>
    <x v="0"/>
    <x v="1"/>
  </r>
  <r>
    <s v=""/>
    <x v="32"/>
    <x v="1"/>
    <x v="5"/>
    <x v="21"/>
    <s v="CS"/>
    <s v="PI-2018004"/>
    <n v="2"/>
    <n v="0"/>
    <n v="0"/>
    <x v="5"/>
    <x v="11"/>
    <x v="6"/>
    <x v="1"/>
    <x v="1"/>
  </r>
  <r>
    <s v=""/>
    <x v="33"/>
    <x v="0"/>
    <x v="8"/>
    <x v="21"/>
    <s v="CS"/>
    <s v="PI-2018011"/>
    <n v="0.12"/>
    <n v="0"/>
    <n v="0"/>
    <x v="18"/>
    <x v="11"/>
    <x v="9"/>
    <x v="1"/>
    <x v="2"/>
  </r>
  <r>
    <s v=""/>
    <x v="33"/>
    <x v="1"/>
    <x v="2"/>
    <x v="21"/>
    <s v="CS"/>
    <s v="PI-2018010"/>
    <n v="0"/>
    <n v="3"/>
    <n v="0"/>
    <x v="4"/>
    <x v="11"/>
    <x v="19"/>
    <x v="1"/>
    <x v="1"/>
  </r>
  <r>
    <s v=""/>
    <x v="34"/>
    <x v="0"/>
    <x v="8"/>
    <x v="21"/>
    <s v="CS"/>
    <s v="PI-2018023"/>
    <n v="30"/>
    <n v="0"/>
    <n v="0"/>
    <x v="3"/>
    <x v="11"/>
    <x v="7"/>
    <x v="1"/>
    <x v="2"/>
  </r>
  <r>
    <s v=""/>
    <x v="34"/>
    <x v="1"/>
    <x v="7"/>
    <x v="21"/>
    <s v="CS"/>
    <s v="PI-2018011"/>
    <n v="0"/>
    <n v="0.224"/>
    <n v="0"/>
    <x v="45"/>
    <x v="11"/>
    <x v="9"/>
    <x v="1"/>
    <x v="2"/>
  </r>
  <r>
    <s v=""/>
    <x v="34"/>
    <x v="1"/>
    <x v="7"/>
    <x v="21"/>
    <s v="CS"/>
    <s v="PI-2018012"/>
    <n v="0"/>
    <n v="2.718"/>
    <n v="0"/>
    <x v="46"/>
    <x v="11"/>
    <x v="20"/>
    <x v="1"/>
    <x v="2"/>
  </r>
  <r>
    <s v=""/>
    <x v="34"/>
    <x v="1"/>
    <x v="7"/>
    <x v="21"/>
    <s v="CS"/>
    <s v="PI-2018013"/>
    <n v="0"/>
    <n v="0.80400000000000005"/>
    <n v="0"/>
    <x v="47"/>
    <x v="11"/>
    <x v="11"/>
    <x v="1"/>
    <x v="2"/>
  </r>
  <r>
    <s v=""/>
    <x v="34"/>
    <x v="1"/>
    <x v="7"/>
    <x v="21"/>
    <s v="CS"/>
    <s v="PI-2018014"/>
    <n v="0"/>
    <n v="2.238"/>
    <n v="0"/>
    <x v="48"/>
    <x v="11"/>
    <x v="16"/>
    <x v="1"/>
    <x v="2"/>
  </r>
  <r>
    <s v=""/>
    <x v="34"/>
    <x v="1"/>
    <x v="7"/>
    <x v="21"/>
    <s v="CS"/>
    <s v="PI-2018015"/>
    <n v="0"/>
    <n v="1.5820000000000001"/>
    <n v="0"/>
    <x v="49"/>
    <x v="11"/>
    <x v="5"/>
    <x v="1"/>
    <x v="2"/>
  </r>
  <r>
    <s v=""/>
    <x v="34"/>
    <x v="1"/>
    <x v="7"/>
    <x v="21"/>
    <s v="CS"/>
    <s v="PI-2018016"/>
    <n v="0"/>
    <n v="1.756"/>
    <n v="0"/>
    <x v="50"/>
    <x v="11"/>
    <x v="15"/>
    <x v="1"/>
    <x v="2"/>
  </r>
  <r>
    <s v=""/>
    <x v="34"/>
    <x v="1"/>
    <x v="7"/>
    <x v="21"/>
    <s v="CS"/>
    <s v="PI-2018017"/>
    <n v="0"/>
    <n v="6.52"/>
    <n v="0"/>
    <x v="51"/>
    <x v="11"/>
    <x v="8"/>
    <x v="1"/>
    <x v="2"/>
  </r>
  <r>
    <s v=""/>
    <x v="34"/>
    <x v="1"/>
    <x v="7"/>
    <x v="21"/>
    <s v="CS"/>
    <s v="PI-2018018"/>
    <n v="0"/>
    <n v="12.878"/>
    <n v="0"/>
    <x v="52"/>
    <x v="11"/>
    <x v="1"/>
    <x v="1"/>
    <x v="2"/>
  </r>
  <r>
    <s v=""/>
    <x v="34"/>
    <x v="1"/>
    <x v="7"/>
    <x v="21"/>
    <s v="CS"/>
    <s v="PI-2018019"/>
    <n v="0"/>
    <n v="7.7060000000000004"/>
    <n v="0"/>
    <x v="53"/>
    <x v="11"/>
    <x v="4"/>
    <x v="1"/>
    <x v="2"/>
  </r>
  <r>
    <s v=""/>
    <x v="34"/>
    <x v="1"/>
    <x v="7"/>
    <x v="21"/>
    <s v="CS"/>
    <s v="PI-2018020"/>
    <n v="0"/>
    <n v="4.88"/>
    <n v="0"/>
    <x v="54"/>
    <x v="11"/>
    <x v="12"/>
    <x v="1"/>
    <x v="2"/>
  </r>
  <r>
    <s v=""/>
    <x v="34"/>
    <x v="1"/>
    <x v="7"/>
    <x v="21"/>
    <s v="CS"/>
    <s v="PI-2018021"/>
    <n v="0"/>
    <n v="6.6159999999999997"/>
    <n v="0"/>
    <x v="55"/>
    <x v="11"/>
    <x v="3"/>
    <x v="1"/>
    <x v="2"/>
  </r>
  <r>
    <s v=""/>
    <x v="34"/>
    <x v="1"/>
    <x v="7"/>
    <x v="21"/>
    <s v="CS"/>
    <s v="PI-2018022"/>
    <n v="0"/>
    <n v="14.64"/>
    <n v="0.23"/>
    <x v="56"/>
    <x v="11"/>
    <x v="10"/>
    <x v="1"/>
    <x v="2"/>
  </r>
  <r>
    <s v=""/>
    <x v="34"/>
    <x v="1"/>
    <x v="7"/>
    <x v="21"/>
    <s v="CS"/>
    <s v="PI-2018023"/>
    <n v="0"/>
    <n v="6.242"/>
    <n v="0"/>
    <x v="57"/>
    <x v="11"/>
    <x v="7"/>
    <x v="1"/>
    <x v="2"/>
  </r>
  <r>
    <s v=""/>
    <x v="34"/>
    <x v="1"/>
    <x v="5"/>
    <x v="21"/>
    <s v="CS"/>
    <s v="PI-2018022"/>
    <n v="5"/>
    <n v="0"/>
    <n v="0"/>
    <x v="42"/>
    <x v="11"/>
    <x v="10"/>
    <x v="1"/>
    <x v="1"/>
  </r>
  <r>
    <s v=""/>
    <x v="34"/>
    <x v="1"/>
    <x v="5"/>
    <x v="21"/>
    <s v="CS"/>
    <s v="PI-2018023"/>
    <n v="790"/>
    <n v="0"/>
    <n v="0"/>
    <x v="58"/>
    <x v="11"/>
    <x v="7"/>
    <x v="1"/>
    <x v="1"/>
  </r>
  <r>
    <s v=""/>
    <x v="34"/>
    <x v="1"/>
    <x v="2"/>
    <x v="21"/>
    <s v="CS"/>
    <s v="PI-2018019"/>
    <n v="0.7"/>
    <n v="63"/>
    <n v="0"/>
    <x v="59"/>
    <x v="11"/>
    <x v="4"/>
    <x v="1"/>
    <x v="1"/>
  </r>
  <r>
    <s v=""/>
    <x v="34"/>
    <x v="1"/>
    <x v="2"/>
    <x v="21"/>
    <s v="CS"/>
    <s v="PI-2018020"/>
    <n v="2"/>
    <n v="0"/>
    <n v="0"/>
    <x v="5"/>
    <x v="11"/>
    <x v="12"/>
    <x v="1"/>
    <x v="1"/>
  </r>
  <r>
    <s v=""/>
    <x v="34"/>
    <x v="1"/>
    <x v="2"/>
    <x v="21"/>
    <s v="CS"/>
    <s v="PI-2018023"/>
    <n v="736"/>
    <n v="0"/>
    <n v="0"/>
    <x v="60"/>
    <x v="11"/>
    <x v="7"/>
    <x v="1"/>
    <x v="1"/>
  </r>
  <r>
    <s v=""/>
    <x v="35"/>
    <x v="1"/>
    <x v="3"/>
    <x v="28"/>
    <s v="CS"/>
    <s v="PI-2018017"/>
    <n v="2"/>
    <n v="0"/>
    <n v="0"/>
    <x v="5"/>
    <x v="12"/>
    <x v="8"/>
    <x v="1"/>
    <x v="0"/>
  </r>
  <r>
    <s v=""/>
    <x v="36"/>
    <x v="0"/>
    <x v="0"/>
    <x v="21"/>
    <s v="CS"/>
    <s v="PI-2018019"/>
    <n v="206"/>
    <n v="0"/>
    <n v="0"/>
    <x v="61"/>
    <x v="13"/>
    <x v="4"/>
    <x v="1"/>
    <x v="0"/>
  </r>
  <r>
    <s v=""/>
    <x v="36"/>
    <x v="0"/>
    <x v="0"/>
    <x v="21"/>
    <s v="CS"/>
    <s v="PI-2018020"/>
    <n v="746"/>
    <n v="0"/>
    <n v="0"/>
    <x v="62"/>
    <x v="13"/>
    <x v="12"/>
    <x v="1"/>
    <x v="0"/>
  </r>
  <r>
    <s v=""/>
    <x v="36"/>
    <x v="1"/>
    <x v="3"/>
    <x v="21"/>
    <s v="CS"/>
    <s v="PI-2018019"/>
    <n v="30"/>
    <n v="0"/>
    <n v="0"/>
    <x v="3"/>
    <x v="13"/>
    <x v="4"/>
    <x v="1"/>
    <x v="0"/>
  </r>
  <r>
    <s v=""/>
    <x v="36"/>
    <x v="1"/>
    <x v="3"/>
    <x v="21"/>
    <s v="CS"/>
    <s v="PI-2018020"/>
    <n v="2"/>
    <n v="0"/>
    <n v="0"/>
    <x v="5"/>
    <x v="13"/>
    <x v="12"/>
    <x v="1"/>
    <x v="0"/>
  </r>
  <r>
    <s v=""/>
    <x v="37"/>
    <x v="0"/>
    <x v="0"/>
    <x v="21"/>
    <s v="CS"/>
    <s v="PI-2018021"/>
    <n v="570"/>
    <n v="0"/>
    <n v="0"/>
    <x v="63"/>
    <x v="13"/>
    <x v="3"/>
    <x v="1"/>
    <x v="0"/>
  </r>
  <r>
    <s v=""/>
    <x v="37"/>
    <x v="0"/>
    <x v="0"/>
    <x v="21"/>
    <s v="CS"/>
    <s v="PI-2018022"/>
    <n v="992"/>
    <n v="0"/>
    <n v="0"/>
    <x v="64"/>
    <x v="13"/>
    <x v="10"/>
    <x v="1"/>
    <x v="0"/>
  </r>
  <r>
    <s v=""/>
    <x v="37"/>
    <x v="1"/>
    <x v="4"/>
    <x v="21"/>
    <s v="CS"/>
    <s v="PI-2018021"/>
    <n v="1"/>
    <n v="0"/>
    <n v="0"/>
    <x v="2"/>
    <x v="13"/>
    <x v="3"/>
    <x v="1"/>
    <x v="0"/>
  </r>
  <r>
    <s v=""/>
    <x v="37"/>
    <x v="1"/>
    <x v="3"/>
    <x v="21"/>
    <s v="CS"/>
    <s v="PI-2018021"/>
    <n v="30"/>
    <n v="0"/>
    <n v="0"/>
    <x v="3"/>
    <x v="13"/>
    <x v="3"/>
    <x v="1"/>
    <x v="0"/>
  </r>
  <r>
    <s v=""/>
    <x v="37"/>
    <x v="1"/>
    <x v="3"/>
    <x v="21"/>
    <s v="CS"/>
    <s v="PI-2018022"/>
    <n v="210"/>
    <n v="0"/>
    <n v="0"/>
    <x v="65"/>
    <x v="13"/>
    <x v="10"/>
    <x v="1"/>
    <x v="0"/>
  </r>
  <r>
    <s v=""/>
    <x v="38"/>
    <x v="0"/>
    <x v="0"/>
    <x v="29"/>
    <s v="CS"/>
    <s v="PI-2018019"/>
    <n v="5"/>
    <n v="0"/>
    <n v="0"/>
    <x v="42"/>
    <x v="13"/>
    <x v="4"/>
    <x v="1"/>
    <x v="0"/>
  </r>
  <r>
    <s v=""/>
    <x v="38"/>
    <x v="1"/>
    <x v="4"/>
    <x v="29"/>
    <s v="CS"/>
    <s v="PI-2018023"/>
    <n v="331"/>
    <n v="0"/>
    <n v="0"/>
    <x v="66"/>
    <x v="13"/>
    <x v="7"/>
    <x v="1"/>
    <x v="0"/>
  </r>
  <r>
    <s v=""/>
    <x v="38"/>
    <x v="1"/>
    <x v="1"/>
    <x v="29"/>
    <s v="CS"/>
    <s v="PI-2017050"/>
    <n v="0"/>
    <n v="0"/>
    <n v="1"/>
    <x v="2"/>
    <x v="13"/>
    <x v="21"/>
    <x v="0"/>
    <x v="1"/>
  </r>
  <r>
    <s v=""/>
    <x v="39"/>
    <x v="1"/>
    <x v="4"/>
    <x v="29"/>
    <s v="CS"/>
    <s v="PI-2018019"/>
    <n v="92"/>
    <n v="0"/>
    <n v="0"/>
    <x v="67"/>
    <x v="13"/>
    <x v="4"/>
    <x v="1"/>
    <x v="0"/>
  </r>
  <r>
    <s v=""/>
    <x v="40"/>
    <x v="1"/>
    <x v="4"/>
    <x v="21"/>
    <s v="CS"/>
    <s v="PI-2018021"/>
    <n v="46"/>
    <n v="0"/>
    <n v="0"/>
    <x v="68"/>
    <x v="14"/>
    <x v="3"/>
    <x v="1"/>
    <x v="0"/>
  </r>
  <r>
    <s v=""/>
    <x v="40"/>
    <x v="1"/>
    <x v="3"/>
    <x v="21"/>
    <s v="CS"/>
    <s v="PI-2018020"/>
    <n v="4"/>
    <n v="0"/>
    <n v="0"/>
    <x v="69"/>
    <x v="14"/>
    <x v="12"/>
    <x v="1"/>
    <x v="0"/>
  </r>
  <r>
    <s v=""/>
    <x v="41"/>
    <x v="1"/>
    <x v="1"/>
    <x v="29"/>
    <s v="CS"/>
    <s v="PI-2018015"/>
    <n v="0"/>
    <n v="0"/>
    <n v="1"/>
    <x v="2"/>
    <x v="14"/>
    <x v="5"/>
    <x v="1"/>
    <x v="1"/>
  </r>
  <r>
    <s v=""/>
    <x v="42"/>
    <x v="0"/>
    <x v="0"/>
    <x v="30"/>
    <s v="CS"/>
    <s v="PI-2018022"/>
    <n v="1569"/>
    <n v="0"/>
    <n v="0"/>
    <x v="70"/>
    <x v="2"/>
    <x v="10"/>
    <x v="1"/>
    <x v="0"/>
  </r>
  <r>
    <s v=""/>
    <x v="42"/>
    <x v="1"/>
    <x v="4"/>
    <x v="30"/>
    <s v="CS"/>
    <s v="PI-2018022"/>
    <n v="41"/>
    <n v="0"/>
    <n v="0"/>
    <x v="71"/>
    <x v="2"/>
    <x v="10"/>
    <x v="1"/>
    <x v="0"/>
  </r>
  <r>
    <s v=""/>
    <x v="42"/>
    <x v="1"/>
    <x v="3"/>
    <x v="30"/>
    <s v="CS"/>
    <s v="PI-2018019"/>
    <n v="1"/>
    <n v="0"/>
    <n v="0"/>
    <x v="2"/>
    <x v="2"/>
    <x v="4"/>
    <x v="1"/>
    <x v="0"/>
  </r>
  <r>
    <s v=""/>
    <x v="43"/>
    <x v="0"/>
    <x v="0"/>
    <x v="31"/>
    <s v="CS"/>
    <s v="PI-2018019"/>
    <n v="1"/>
    <n v="0"/>
    <n v="0"/>
    <x v="2"/>
    <x v="2"/>
    <x v="4"/>
    <x v="1"/>
    <x v="0"/>
  </r>
  <r>
    <s v=""/>
    <x v="43"/>
    <x v="0"/>
    <x v="0"/>
    <x v="31"/>
    <s v="CS"/>
    <s v="PI-2018022"/>
    <n v="497"/>
    <n v="0"/>
    <n v="0"/>
    <x v="72"/>
    <x v="2"/>
    <x v="10"/>
    <x v="1"/>
    <x v="0"/>
  </r>
  <r>
    <s v=""/>
    <x v="43"/>
    <x v="0"/>
    <x v="0"/>
    <x v="31"/>
    <s v="CS"/>
    <s v="PI-2018023"/>
    <n v="336"/>
    <n v="0"/>
    <n v="0"/>
    <x v="73"/>
    <x v="2"/>
    <x v="7"/>
    <x v="1"/>
    <x v="0"/>
  </r>
  <r>
    <s v=""/>
    <x v="43"/>
    <x v="1"/>
    <x v="4"/>
    <x v="31"/>
    <s v="CS"/>
    <s v="PI-2018023"/>
    <n v="412"/>
    <n v="0"/>
    <n v="0"/>
    <x v="74"/>
    <x v="2"/>
    <x v="7"/>
    <x v="1"/>
    <x v="0"/>
  </r>
  <r>
    <s v=""/>
    <x v="44"/>
    <x v="0"/>
    <x v="0"/>
    <x v="21"/>
    <s v="CS"/>
    <s v="PI-2016022"/>
    <n v="0"/>
    <n v="0.08"/>
    <n v="0"/>
    <x v="75"/>
    <x v="15"/>
    <x v="10"/>
    <x v="2"/>
    <x v="0"/>
  </r>
  <r>
    <s v=""/>
    <x v="45"/>
    <x v="0"/>
    <x v="0"/>
    <x v="23"/>
    <s v="CS"/>
    <s v="PI-2018021"/>
    <n v="84"/>
    <n v="0"/>
    <n v="0"/>
    <x v="76"/>
    <x v="6"/>
    <x v="3"/>
    <x v="1"/>
    <x v="0"/>
  </r>
  <r>
    <s v=""/>
    <x v="45"/>
    <x v="0"/>
    <x v="0"/>
    <x v="23"/>
    <s v="CS"/>
    <s v="PI-2018022"/>
    <n v="80"/>
    <n v="0"/>
    <n v="0"/>
    <x v="77"/>
    <x v="6"/>
    <x v="10"/>
    <x v="1"/>
    <x v="0"/>
  </r>
  <r>
    <s v=""/>
    <x v="45"/>
    <x v="0"/>
    <x v="0"/>
    <x v="23"/>
    <s v="CS"/>
    <s v="PI-2018023"/>
    <n v="395"/>
    <n v="0"/>
    <n v="0"/>
    <x v="78"/>
    <x v="6"/>
    <x v="7"/>
    <x v="1"/>
    <x v="0"/>
  </r>
  <r>
    <s v=""/>
    <x v="45"/>
    <x v="1"/>
    <x v="4"/>
    <x v="23"/>
    <s v="CS"/>
    <s v="PI-2018021"/>
    <n v="51"/>
    <n v="0"/>
    <n v="0"/>
    <x v="34"/>
    <x v="6"/>
    <x v="3"/>
    <x v="1"/>
    <x v="0"/>
  </r>
  <r>
    <s v=""/>
    <x v="45"/>
    <x v="1"/>
    <x v="4"/>
    <x v="23"/>
    <s v="CS"/>
    <s v="PI-2018022"/>
    <n v="3"/>
    <n v="0"/>
    <n v="0"/>
    <x v="4"/>
    <x v="6"/>
    <x v="10"/>
    <x v="1"/>
    <x v="0"/>
  </r>
  <r>
    <s v=""/>
    <x v="45"/>
    <x v="1"/>
    <x v="4"/>
    <x v="23"/>
    <s v="CS"/>
    <s v="PI-2018023"/>
    <n v="7"/>
    <n v="0"/>
    <n v="0"/>
    <x v="26"/>
    <x v="6"/>
    <x v="7"/>
    <x v="1"/>
    <x v="0"/>
  </r>
  <r>
    <s v=""/>
    <x v="45"/>
    <x v="1"/>
    <x v="3"/>
    <x v="23"/>
    <s v="CS"/>
    <s v="PI-2018021"/>
    <n v="1"/>
    <n v="0"/>
    <n v="0"/>
    <x v="2"/>
    <x v="6"/>
    <x v="3"/>
    <x v="1"/>
    <x v="0"/>
  </r>
  <r>
    <s v=""/>
    <x v="46"/>
    <x v="0"/>
    <x v="0"/>
    <x v="32"/>
    <s v="CS"/>
    <s v="PI-2018021"/>
    <n v="742"/>
    <n v="0"/>
    <n v="0"/>
    <x v="79"/>
    <x v="6"/>
    <x v="3"/>
    <x v="1"/>
    <x v="0"/>
  </r>
  <r>
    <s v=""/>
    <x v="46"/>
    <x v="0"/>
    <x v="0"/>
    <x v="32"/>
    <s v="CS"/>
    <s v="PI-2018022"/>
    <n v="61"/>
    <n v="0"/>
    <n v="0"/>
    <x v="80"/>
    <x v="6"/>
    <x v="10"/>
    <x v="1"/>
    <x v="0"/>
  </r>
  <r>
    <s v=""/>
    <x v="46"/>
    <x v="1"/>
    <x v="1"/>
    <x v="32"/>
    <s v="CS"/>
    <s v="PI-2018014"/>
    <n v="0"/>
    <n v="0"/>
    <n v="1"/>
    <x v="2"/>
    <x v="6"/>
    <x v="16"/>
    <x v="1"/>
    <x v="1"/>
  </r>
  <r>
    <s v=""/>
    <x v="47"/>
    <x v="0"/>
    <x v="0"/>
    <x v="29"/>
    <s v="CS"/>
    <s v="PI-2018017"/>
    <n v="20"/>
    <n v="0"/>
    <n v="0"/>
    <x v="22"/>
    <x v="7"/>
    <x v="8"/>
    <x v="1"/>
    <x v="0"/>
  </r>
  <r>
    <s v=""/>
    <x v="47"/>
    <x v="1"/>
    <x v="4"/>
    <x v="29"/>
    <s v="CS"/>
    <s v="PI-2018023"/>
    <n v="122"/>
    <n v="0"/>
    <n v="0"/>
    <x v="81"/>
    <x v="7"/>
    <x v="7"/>
    <x v="1"/>
    <x v="0"/>
  </r>
  <r>
    <s v=""/>
    <x v="47"/>
    <x v="1"/>
    <x v="3"/>
    <x v="29"/>
    <s v="CS"/>
    <s v="PI-2018015"/>
    <n v="14"/>
    <n v="0"/>
    <n v="0"/>
    <x v="0"/>
    <x v="7"/>
    <x v="5"/>
    <x v="1"/>
    <x v="0"/>
  </r>
  <r>
    <s v=""/>
    <x v="47"/>
    <x v="1"/>
    <x v="3"/>
    <x v="29"/>
    <s v="CS"/>
    <s v="PI-2018017"/>
    <n v="15"/>
    <n v="0"/>
    <n v="0"/>
    <x v="44"/>
    <x v="7"/>
    <x v="8"/>
    <x v="1"/>
    <x v="0"/>
  </r>
  <r>
    <s v=""/>
    <x v="48"/>
    <x v="0"/>
    <x v="0"/>
    <x v="33"/>
    <s v="CS"/>
    <s v="PI-2018022"/>
    <n v="367"/>
    <n v="0"/>
    <n v="0"/>
    <x v="82"/>
    <x v="5"/>
    <x v="10"/>
    <x v="1"/>
    <x v="0"/>
  </r>
  <r>
    <s v=""/>
    <x v="48"/>
    <x v="1"/>
    <x v="2"/>
    <x v="33"/>
    <s v="CS"/>
    <s v="PI-2018016"/>
    <n v="0"/>
    <n v="0"/>
    <n v="3"/>
    <x v="4"/>
    <x v="5"/>
    <x v="15"/>
    <x v="1"/>
    <x v="1"/>
  </r>
  <r>
    <s v=""/>
    <x v="49"/>
    <x v="1"/>
    <x v="4"/>
    <x v="24"/>
    <s v="CS"/>
    <s v="PI-2018023"/>
    <n v="78"/>
    <n v="0"/>
    <n v="0"/>
    <x v="83"/>
    <x v="16"/>
    <x v="7"/>
    <x v="1"/>
    <x v="0"/>
  </r>
  <r>
    <s v=""/>
    <x v="50"/>
    <x v="1"/>
    <x v="1"/>
    <x v="34"/>
    <s v="CS"/>
    <s v="PI-2018003"/>
    <n v="0"/>
    <n v="0"/>
    <n v="1"/>
    <x v="2"/>
    <x v="5"/>
    <x v="22"/>
    <x v="1"/>
    <x v="1"/>
  </r>
  <r>
    <s v=""/>
    <x v="51"/>
    <x v="1"/>
    <x v="1"/>
    <x v="35"/>
    <s v="CS"/>
    <s v="PI-2018001"/>
    <n v="0"/>
    <n v="0"/>
    <n v="1"/>
    <x v="2"/>
    <x v="5"/>
    <x v="23"/>
    <x v="1"/>
    <x v="1"/>
  </r>
  <r>
    <s v=""/>
    <x v="52"/>
    <x v="1"/>
    <x v="4"/>
    <x v="24"/>
    <s v="CS"/>
    <s v="PI-2018019"/>
    <n v="103"/>
    <n v="0"/>
    <n v="0"/>
    <x v="84"/>
    <x v="13"/>
    <x v="4"/>
    <x v="1"/>
    <x v="0"/>
  </r>
  <r>
    <s v=""/>
    <x v="53"/>
    <x v="0"/>
    <x v="0"/>
    <x v="36"/>
    <s v="CS"/>
    <s v="PI-2018022"/>
    <n v="104"/>
    <n v="0"/>
    <n v="0"/>
    <x v="85"/>
    <x v="3"/>
    <x v="10"/>
    <x v="1"/>
    <x v="0"/>
  </r>
  <r>
    <s v=""/>
    <x v="54"/>
    <x v="1"/>
    <x v="4"/>
    <x v="32"/>
    <s v="CS"/>
    <s v="PI-2018022"/>
    <n v="241"/>
    <n v="0"/>
    <n v="0"/>
    <x v="86"/>
    <x v="3"/>
    <x v="10"/>
    <x v="1"/>
    <x v="0"/>
  </r>
  <r>
    <s v=""/>
    <x v="54"/>
    <x v="1"/>
    <x v="4"/>
    <x v="32"/>
    <s v="CS"/>
    <s v="PI-2018023"/>
    <n v="132"/>
    <n v="0"/>
    <n v="0"/>
    <x v="87"/>
    <x v="3"/>
    <x v="7"/>
    <x v="1"/>
    <x v="0"/>
  </r>
  <r>
    <s v=""/>
    <x v="54"/>
    <x v="1"/>
    <x v="3"/>
    <x v="32"/>
    <s v="CS"/>
    <s v="PI-2018022"/>
    <n v="27"/>
    <n v="0"/>
    <n v="0"/>
    <x v="88"/>
    <x v="3"/>
    <x v="10"/>
    <x v="1"/>
    <x v="0"/>
  </r>
  <r>
    <s v=""/>
    <x v="55"/>
    <x v="0"/>
    <x v="0"/>
    <x v="37"/>
    <s v="CS"/>
    <s v="PI-2018023"/>
    <n v="339"/>
    <n v="0"/>
    <n v="0"/>
    <x v="89"/>
    <x v="3"/>
    <x v="7"/>
    <x v="1"/>
    <x v="0"/>
  </r>
  <r>
    <s v=""/>
    <x v="56"/>
    <x v="0"/>
    <x v="0"/>
    <x v="38"/>
    <s v="CS"/>
    <s v="PI-2018020"/>
    <n v="7"/>
    <n v="0"/>
    <n v="0"/>
    <x v="26"/>
    <x v="17"/>
    <x v="12"/>
    <x v="1"/>
    <x v="0"/>
  </r>
  <r>
    <s v=""/>
    <x v="56"/>
    <x v="1"/>
    <x v="4"/>
    <x v="38"/>
    <s v="CS"/>
    <s v="PI-2018020"/>
    <n v="351"/>
    <n v="0"/>
    <n v="0"/>
    <x v="90"/>
    <x v="17"/>
    <x v="12"/>
    <x v="1"/>
    <x v="0"/>
  </r>
  <r>
    <s v=""/>
    <x v="56"/>
    <x v="1"/>
    <x v="4"/>
    <x v="38"/>
    <s v="CS"/>
    <s v="PI-2018022"/>
    <n v="720"/>
    <n v="0"/>
    <n v="0"/>
    <x v="91"/>
    <x v="17"/>
    <x v="10"/>
    <x v="1"/>
    <x v="0"/>
  </r>
  <r>
    <s v=""/>
    <x v="56"/>
    <x v="1"/>
    <x v="2"/>
    <x v="38"/>
    <s v="CS"/>
    <s v="PI-2018015"/>
    <n v="1"/>
    <n v="0"/>
    <n v="0"/>
    <x v="2"/>
    <x v="17"/>
    <x v="5"/>
    <x v="1"/>
    <x v="1"/>
  </r>
  <r>
    <s v=""/>
    <x v="56"/>
    <x v="1"/>
    <x v="3"/>
    <x v="38"/>
    <s v="CS"/>
    <s v="PI-2018015"/>
    <n v="1"/>
    <n v="0"/>
    <n v="0"/>
    <x v="2"/>
    <x v="17"/>
    <x v="5"/>
    <x v="1"/>
    <x v="0"/>
  </r>
  <r>
    <s v=""/>
    <x v="56"/>
    <x v="1"/>
    <x v="3"/>
    <x v="38"/>
    <s v="CS"/>
    <s v="PI-2018022"/>
    <n v="8"/>
    <n v="0"/>
    <n v="0"/>
    <x v="12"/>
    <x v="17"/>
    <x v="10"/>
    <x v="1"/>
    <x v="0"/>
  </r>
  <r>
    <s v=""/>
    <x v="57"/>
    <x v="0"/>
    <x v="0"/>
    <x v="39"/>
    <s v="CS"/>
    <s v="PI-2018022"/>
    <n v="300"/>
    <n v="0"/>
    <n v="0"/>
    <x v="92"/>
    <x v="6"/>
    <x v="10"/>
    <x v="1"/>
    <x v="0"/>
  </r>
  <r>
    <s v=""/>
    <x v="57"/>
    <x v="1"/>
    <x v="4"/>
    <x v="39"/>
    <s v="CS"/>
    <s v="PI-2018022"/>
    <n v="1"/>
    <n v="0"/>
    <n v="0"/>
    <x v="2"/>
    <x v="6"/>
    <x v="10"/>
    <x v="1"/>
    <x v="0"/>
  </r>
  <r>
    <s v=""/>
    <x v="58"/>
    <x v="0"/>
    <x v="0"/>
    <x v="40"/>
    <s v="CS"/>
    <s v="PI-2018023"/>
    <n v="144"/>
    <n v="0"/>
    <n v="0"/>
    <x v="93"/>
    <x v="6"/>
    <x v="7"/>
    <x v="1"/>
    <x v="0"/>
  </r>
  <r>
    <s v=""/>
    <x v="58"/>
    <x v="1"/>
    <x v="4"/>
    <x v="40"/>
    <s v="CS"/>
    <s v="PI-2018023"/>
    <n v="5"/>
    <n v="0"/>
    <n v="0"/>
    <x v="42"/>
    <x v="6"/>
    <x v="7"/>
    <x v="1"/>
    <x v="0"/>
  </r>
  <r>
    <s v=""/>
    <x v="59"/>
    <x v="1"/>
    <x v="4"/>
    <x v="40"/>
    <s v="CS"/>
    <s v="PI-2018023"/>
    <n v="52"/>
    <n v="0"/>
    <n v="0"/>
    <x v="94"/>
    <x v="6"/>
    <x v="7"/>
    <x v="1"/>
    <x v="0"/>
  </r>
  <r>
    <s v=""/>
    <x v="60"/>
    <x v="0"/>
    <x v="0"/>
    <x v="41"/>
    <s v="CS"/>
    <s v="PI-2018023"/>
    <n v="126"/>
    <n v="0"/>
    <n v="0"/>
    <x v="95"/>
    <x v="6"/>
    <x v="7"/>
    <x v="1"/>
    <x v="0"/>
  </r>
  <r>
    <s v=""/>
    <x v="60"/>
    <x v="1"/>
    <x v="1"/>
    <x v="41"/>
    <s v="CS"/>
    <s v="PI-2018002"/>
    <n v="0"/>
    <n v="0"/>
    <n v="1"/>
    <x v="2"/>
    <x v="6"/>
    <x v="24"/>
    <x v="1"/>
    <x v="1"/>
  </r>
  <r>
    <s v=""/>
    <x v="61"/>
    <x v="0"/>
    <x v="0"/>
    <x v="42"/>
    <s v="CS"/>
    <s v="PI-2018018"/>
    <n v="1"/>
    <n v="0"/>
    <n v="0"/>
    <x v="2"/>
    <x v="9"/>
    <x v="1"/>
    <x v="1"/>
    <x v="0"/>
  </r>
  <r>
    <s v=""/>
    <x v="61"/>
    <x v="0"/>
    <x v="0"/>
    <x v="42"/>
    <s v="CS"/>
    <s v="PI-2018022"/>
    <n v="90"/>
    <n v="0"/>
    <n v="0"/>
    <x v="39"/>
    <x v="9"/>
    <x v="10"/>
    <x v="1"/>
    <x v="0"/>
  </r>
  <r>
    <s v=""/>
    <x v="61"/>
    <x v="1"/>
    <x v="3"/>
    <x v="42"/>
    <s v="CS"/>
    <s v="PI-2018022"/>
    <n v="5"/>
    <n v="0"/>
    <n v="0"/>
    <x v="42"/>
    <x v="9"/>
    <x v="10"/>
    <x v="1"/>
    <x v="0"/>
  </r>
  <r>
    <s v=""/>
    <x v="62"/>
    <x v="1"/>
    <x v="2"/>
    <x v="43"/>
    <s v="CS"/>
    <s v="PI-2018016"/>
    <n v="0"/>
    <n v="16"/>
    <n v="0"/>
    <x v="21"/>
    <x v="2"/>
    <x v="15"/>
    <x v="1"/>
    <x v="1"/>
  </r>
  <r>
    <s v=""/>
    <x v="63"/>
    <x v="0"/>
    <x v="0"/>
    <x v="44"/>
    <s v="CS"/>
    <s v="PI-2018021"/>
    <n v="8"/>
    <n v="0"/>
    <n v="0"/>
    <x v="12"/>
    <x v="2"/>
    <x v="3"/>
    <x v="1"/>
    <x v="0"/>
  </r>
  <r>
    <s v=""/>
    <x v="63"/>
    <x v="1"/>
    <x v="2"/>
    <x v="44"/>
    <s v="CS"/>
    <s v="PI-2018016"/>
    <n v="0"/>
    <n v="43"/>
    <n v="0"/>
    <x v="96"/>
    <x v="2"/>
    <x v="15"/>
    <x v="1"/>
    <x v="1"/>
  </r>
  <r>
    <s v=""/>
    <x v="64"/>
    <x v="0"/>
    <x v="0"/>
    <x v="45"/>
    <s v="CS"/>
    <s v="PI-2018021"/>
    <n v="14"/>
    <n v="0"/>
    <n v="0"/>
    <x v="0"/>
    <x v="5"/>
    <x v="3"/>
    <x v="1"/>
    <x v="0"/>
  </r>
  <r>
    <s v=""/>
    <x v="64"/>
    <x v="1"/>
    <x v="1"/>
    <x v="45"/>
    <s v="CS"/>
    <s v="PI-2018016"/>
    <n v="0"/>
    <n v="0"/>
    <n v="3"/>
    <x v="4"/>
    <x v="5"/>
    <x v="15"/>
    <x v="1"/>
    <x v="1"/>
  </r>
  <r>
    <s v=""/>
    <x v="64"/>
    <x v="1"/>
    <x v="2"/>
    <x v="45"/>
    <s v="CS"/>
    <s v="PI-2018016"/>
    <n v="0"/>
    <n v="3"/>
    <n v="0"/>
    <x v="4"/>
    <x v="5"/>
    <x v="15"/>
    <x v="1"/>
    <x v="1"/>
  </r>
  <r>
    <s v=""/>
    <x v="65"/>
    <x v="1"/>
    <x v="1"/>
    <x v="46"/>
    <s v="CS"/>
    <s v="PI-2018016"/>
    <n v="0"/>
    <n v="0"/>
    <n v="1"/>
    <x v="2"/>
    <x v="5"/>
    <x v="15"/>
    <x v="1"/>
    <x v="1"/>
  </r>
  <r>
    <s v=""/>
    <x v="66"/>
    <x v="0"/>
    <x v="0"/>
    <x v="46"/>
    <s v="CS"/>
    <s v="PI-2018016"/>
    <n v="26"/>
    <n v="0"/>
    <n v="0"/>
    <x v="97"/>
    <x v="5"/>
    <x v="15"/>
    <x v="1"/>
    <x v="0"/>
  </r>
  <r>
    <s v=""/>
    <x v="66"/>
    <x v="0"/>
    <x v="0"/>
    <x v="46"/>
    <s v="CS"/>
    <s v="PI-2018017"/>
    <n v="5"/>
    <n v="0"/>
    <n v="0"/>
    <x v="42"/>
    <x v="5"/>
    <x v="8"/>
    <x v="1"/>
    <x v="0"/>
  </r>
  <r>
    <s v=""/>
    <x v="66"/>
    <x v="0"/>
    <x v="0"/>
    <x v="46"/>
    <s v="CS"/>
    <s v="PI-2018020"/>
    <n v="29"/>
    <n v="0"/>
    <n v="0"/>
    <x v="98"/>
    <x v="5"/>
    <x v="12"/>
    <x v="1"/>
    <x v="0"/>
  </r>
  <r>
    <s v=""/>
    <x v="66"/>
    <x v="0"/>
    <x v="0"/>
    <x v="46"/>
    <s v="CS"/>
    <s v="PI-2018021"/>
    <n v="44"/>
    <n v="0"/>
    <n v="0"/>
    <x v="41"/>
    <x v="5"/>
    <x v="3"/>
    <x v="1"/>
    <x v="0"/>
  </r>
  <r>
    <s v=""/>
    <x v="66"/>
    <x v="1"/>
    <x v="4"/>
    <x v="46"/>
    <s v="CS"/>
    <s v="PI-2018020"/>
    <n v="6"/>
    <n v="0"/>
    <n v="0"/>
    <x v="99"/>
    <x v="5"/>
    <x v="12"/>
    <x v="1"/>
    <x v="0"/>
  </r>
  <r>
    <s v=""/>
    <x v="66"/>
    <x v="1"/>
    <x v="4"/>
    <x v="46"/>
    <s v="CS"/>
    <s v="PI-2018021"/>
    <n v="16"/>
    <n v="0"/>
    <n v="0"/>
    <x v="21"/>
    <x v="5"/>
    <x v="3"/>
    <x v="1"/>
    <x v="0"/>
  </r>
  <r>
    <s v=""/>
    <x v="66"/>
    <x v="1"/>
    <x v="1"/>
    <x v="46"/>
    <s v="CS"/>
    <s v="PI-2018017"/>
    <n v="0"/>
    <n v="0"/>
    <n v="8"/>
    <x v="12"/>
    <x v="5"/>
    <x v="8"/>
    <x v="1"/>
    <x v="1"/>
  </r>
  <r>
    <s v=""/>
    <x v="66"/>
    <x v="1"/>
    <x v="2"/>
    <x v="46"/>
    <s v="CS"/>
    <s v="PI-2018020"/>
    <n v="0"/>
    <n v="121"/>
    <n v="0"/>
    <x v="100"/>
    <x v="5"/>
    <x v="12"/>
    <x v="1"/>
    <x v="1"/>
  </r>
  <r>
    <s v=""/>
    <x v="66"/>
    <x v="1"/>
    <x v="2"/>
    <x v="46"/>
    <s v="CS"/>
    <s v="PI-2018021"/>
    <n v="0"/>
    <n v="4"/>
    <n v="0"/>
    <x v="69"/>
    <x v="5"/>
    <x v="3"/>
    <x v="1"/>
    <x v="1"/>
  </r>
  <r>
    <s v=""/>
    <x v="66"/>
    <x v="1"/>
    <x v="3"/>
    <x v="46"/>
    <s v="CS"/>
    <s v="PI-2018020"/>
    <n v="9"/>
    <n v="0"/>
    <n v="0"/>
    <x v="101"/>
    <x v="5"/>
    <x v="12"/>
    <x v="1"/>
    <x v="0"/>
  </r>
  <r>
    <s v=""/>
    <x v="67"/>
    <x v="1"/>
    <x v="1"/>
    <x v="47"/>
    <s v="CS"/>
    <s v="PI-2018002"/>
    <n v="0"/>
    <n v="0"/>
    <n v="1"/>
    <x v="2"/>
    <x v="5"/>
    <x v="24"/>
    <x v="1"/>
    <x v="1"/>
  </r>
  <r>
    <s v=""/>
    <x v="68"/>
    <x v="0"/>
    <x v="0"/>
    <x v="47"/>
    <s v="CS"/>
    <s v="PI-2018021"/>
    <n v="5"/>
    <n v="0"/>
    <n v="0"/>
    <x v="42"/>
    <x v="5"/>
    <x v="3"/>
    <x v="1"/>
    <x v="0"/>
  </r>
  <r>
    <s v=""/>
    <x v="68"/>
    <x v="1"/>
    <x v="2"/>
    <x v="47"/>
    <s v="CS"/>
    <s v="PI-2018021"/>
    <n v="0"/>
    <n v="7"/>
    <n v="0"/>
    <x v="26"/>
    <x v="5"/>
    <x v="3"/>
    <x v="1"/>
    <x v="1"/>
  </r>
  <r>
    <s v=""/>
    <x v="69"/>
    <x v="0"/>
    <x v="0"/>
    <x v="48"/>
    <s v="CS"/>
    <s v="PI-2018019"/>
    <n v="1"/>
    <n v="0"/>
    <n v="0"/>
    <x v="2"/>
    <x v="15"/>
    <x v="4"/>
    <x v="1"/>
    <x v="0"/>
  </r>
  <r>
    <s v=""/>
    <x v="69"/>
    <x v="1"/>
    <x v="1"/>
    <x v="48"/>
    <s v="CS"/>
    <s v="PI-2018009"/>
    <n v="0"/>
    <n v="0"/>
    <n v="1"/>
    <x v="2"/>
    <x v="15"/>
    <x v="25"/>
    <x v="1"/>
    <x v="1"/>
  </r>
  <r>
    <s v=""/>
    <x v="70"/>
    <x v="0"/>
    <x v="0"/>
    <x v="22"/>
    <s v="CS"/>
    <s v="PI-2018021"/>
    <n v="925"/>
    <n v="0"/>
    <n v="0"/>
    <x v="102"/>
    <x v="18"/>
    <x v="3"/>
    <x v="1"/>
    <x v="0"/>
  </r>
  <r>
    <s v=""/>
    <x v="70"/>
    <x v="1"/>
    <x v="4"/>
    <x v="22"/>
    <s v="CS"/>
    <s v="PI-2018021"/>
    <n v="1"/>
    <n v="0"/>
    <n v="0"/>
    <x v="2"/>
    <x v="18"/>
    <x v="3"/>
    <x v="1"/>
    <x v="0"/>
  </r>
  <r>
    <s v=""/>
    <x v="70"/>
    <x v="1"/>
    <x v="5"/>
    <x v="22"/>
    <s v="CS"/>
    <s v="PI-2018023"/>
    <n v="971"/>
    <n v="0"/>
    <n v="0"/>
    <x v="103"/>
    <x v="18"/>
    <x v="7"/>
    <x v="1"/>
    <x v="1"/>
  </r>
  <r>
    <s v=""/>
    <x v="70"/>
    <x v="1"/>
    <x v="2"/>
    <x v="22"/>
    <s v="CS"/>
    <s v="PI-2018023"/>
    <n v="30"/>
    <n v="0"/>
    <n v="0"/>
    <x v="3"/>
    <x v="18"/>
    <x v="7"/>
    <x v="1"/>
    <x v="1"/>
  </r>
  <r>
    <s v=""/>
    <x v="71"/>
    <x v="1"/>
    <x v="4"/>
    <x v="22"/>
    <s v="CS"/>
    <s v="PI-2018023"/>
    <n v="114"/>
    <n v="0"/>
    <n v="0"/>
    <x v="104"/>
    <x v="15"/>
    <x v="7"/>
    <x v="1"/>
    <x v="0"/>
  </r>
  <r>
    <s v=""/>
    <x v="71"/>
    <x v="1"/>
    <x v="1"/>
    <x v="22"/>
    <s v="CS"/>
    <s v="PI-2018005"/>
    <n v="0"/>
    <n v="0"/>
    <n v="2"/>
    <x v="5"/>
    <x v="15"/>
    <x v="26"/>
    <x v="1"/>
    <x v="1"/>
  </r>
  <r>
    <s v=""/>
    <x v="71"/>
    <x v="1"/>
    <x v="1"/>
    <x v="22"/>
    <s v="CS"/>
    <s v="PI-2018015"/>
    <n v="1"/>
    <n v="0"/>
    <n v="0"/>
    <x v="2"/>
    <x v="15"/>
    <x v="5"/>
    <x v="1"/>
    <x v="1"/>
  </r>
  <r>
    <s v=""/>
    <x v="72"/>
    <x v="0"/>
    <x v="0"/>
    <x v="49"/>
    <s v="CS"/>
    <s v="PI-2018023"/>
    <n v="12"/>
    <n v="0"/>
    <n v="0"/>
    <x v="40"/>
    <x v="19"/>
    <x v="7"/>
    <x v="1"/>
    <x v="0"/>
  </r>
  <r>
    <s v=""/>
    <x v="72"/>
    <x v="1"/>
    <x v="1"/>
    <x v="49"/>
    <s v="CS"/>
    <s v="PI-2018015"/>
    <n v="0"/>
    <n v="0"/>
    <n v="1"/>
    <x v="2"/>
    <x v="19"/>
    <x v="5"/>
    <x v="1"/>
    <x v="1"/>
  </r>
  <r>
    <s v=""/>
    <x v="73"/>
    <x v="1"/>
    <x v="7"/>
    <x v="37"/>
    <s v="CS"/>
    <s v="PI-2017041"/>
    <n v="0"/>
    <n v="0"/>
    <n v="1"/>
    <x v="2"/>
    <x v="19"/>
    <x v="27"/>
    <x v="0"/>
    <x v="2"/>
  </r>
  <r>
    <s v=""/>
    <x v="73"/>
    <x v="1"/>
    <x v="7"/>
    <x v="37"/>
    <s v="CS"/>
    <s v="PI-2017046"/>
    <n v="0"/>
    <n v="0"/>
    <n v="1"/>
    <x v="2"/>
    <x v="19"/>
    <x v="28"/>
    <x v="0"/>
    <x v="2"/>
  </r>
  <r>
    <s v=""/>
    <x v="74"/>
    <x v="0"/>
    <x v="0"/>
    <x v="37"/>
    <s v="CS"/>
    <s v="PI-2018019"/>
    <n v="10"/>
    <n v="0"/>
    <n v="0"/>
    <x v="105"/>
    <x v="19"/>
    <x v="4"/>
    <x v="1"/>
    <x v="0"/>
  </r>
  <r>
    <s v=""/>
    <x v="75"/>
    <x v="0"/>
    <x v="0"/>
    <x v="22"/>
    <s v="CS"/>
    <s v="PI-2018022"/>
    <n v="132"/>
    <n v="0"/>
    <n v="0"/>
    <x v="87"/>
    <x v="19"/>
    <x v="10"/>
    <x v="1"/>
    <x v="0"/>
  </r>
  <r>
    <s v=""/>
    <x v="75"/>
    <x v="0"/>
    <x v="0"/>
    <x v="22"/>
    <s v="CS"/>
    <s v="PI-2018023"/>
    <n v="543"/>
    <n v="0"/>
    <n v="0"/>
    <x v="106"/>
    <x v="19"/>
    <x v="7"/>
    <x v="1"/>
    <x v="0"/>
  </r>
  <r>
    <s v=""/>
    <x v="75"/>
    <x v="1"/>
    <x v="4"/>
    <x v="22"/>
    <s v="CS"/>
    <s v="PI-2018022"/>
    <n v="1"/>
    <n v="0"/>
    <n v="0"/>
    <x v="2"/>
    <x v="19"/>
    <x v="10"/>
    <x v="1"/>
    <x v="0"/>
  </r>
  <r>
    <s v=""/>
    <x v="75"/>
    <x v="1"/>
    <x v="4"/>
    <x v="22"/>
    <s v="CS"/>
    <s v="PI-2018023"/>
    <n v="6"/>
    <n v="0"/>
    <n v="0"/>
    <x v="99"/>
    <x v="19"/>
    <x v="7"/>
    <x v="1"/>
    <x v="0"/>
  </r>
  <r>
    <s v=""/>
    <x v="75"/>
    <x v="1"/>
    <x v="1"/>
    <x v="22"/>
    <s v="CS"/>
    <s v="PI-2018017"/>
    <n v="1"/>
    <n v="0"/>
    <n v="0"/>
    <x v="2"/>
    <x v="19"/>
    <x v="8"/>
    <x v="1"/>
    <x v="1"/>
  </r>
  <r>
    <s v=""/>
    <x v="75"/>
    <x v="1"/>
    <x v="5"/>
    <x v="22"/>
    <s v="CS"/>
    <s v="PI-2018022"/>
    <n v="11"/>
    <n v="0"/>
    <n v="0"/>
    <x v="29"/>
    <x v="19"/>
    <x v="10"/>
    <x v="1"/>
    <x v="1"/>
  </r>
  <r>
    <s v=""/>
    <x v="75"/>
    <x v="1"/>
    <x v="3"/>
    <x v="22"/>
    <s v="CS"/>
    <s v="PI-2018017"/>
    <n v="5"/>
    <n v="0"/>
    <n v="0"/>
    <x v="42"/>
    <x v="19"/>
    <x v="8"/>
    <x v="1"/>
    <x v="0"/>
  </r>
  <r>
    <s v=""/>
    <x v="76"/>
    <x v="0"/>
    <x v="0"/>
    <x v="23"/>
    <s v="CS"/>
    <s v="PI-2018023"/>
    <n v="238"/>
    <n v="0"/>
    <n v="0"/>
    <x v="107"/>
    <x v="19"/>
    <x v="7"/>
    <x v="1"/>
    <x v="0"/>
  </r>
  <r>
    <s v=""/>
    <x v="77"/>
    <x v="1"/>
    <x v="1"/>
    <x v="26"/>
    <s v="CS"/>
    <s v="PI-2018002"/>
    <n v="6"/>
    <n v="0"/>
    <n v="21"/>
    <x v="88"/>
    <x v="19"/>
    <x v="24"/>
    <x v="1"/>
    <x v="1"/>
  </r>
  <r>
    <s v=""/>
    <x v="78"/>
    <x v="1"/>
    <x v="5"/>
    <x v="50"/>
    <s v="CS"/>
    <s v="PI-2018023"/>
    <n v="322"/>
    <n v="0"/>
    <n v="0"/>
    <x v="108"/>
    <x v="19"/>
    <x v="7"/>
    <x v="1"/>
    <x v="1"/>
  </r>
  <r>
    <s v=""/>
    <x v="79"/>
    <x v="1"/>
    <x v="4"/>
    <x v="32"/>
    <s v="CS"/>
    <s v="PI-2018023"/>
    <n v="128"/>
    <n v="0"/>
    <n v="0"/>
    <x v="23"/>
    <x v="19"/>
    <x v="7"/>
    <x v="1"/>
    <x v="0"/>
  </r>
  <r>
    <s v=""/>
    <x v="80"/>
    <x v="1"/>
    <x v="5"/>
    <x v="51"/>
    <s v="CS"/>
    <s v="PI-2018023"/>
    <n v="610"/>
    <n v="0"/>
    <n v="0"/>
    <x v="109"/>
    <x v="19"/>
    <x v="7"/>
    <x v="1"/>
    <x v="1"/>
  </r>
  <r>
    <s v=""/>
    <x v="80"/>
    <x v="1"/>
    <x v="3"/>
    <x v="51"/>
    <s v="CS"/>
    <s v="PI-2018018"/>
    <n v="1"/>
    <n v="0"/>
    <n v="0"/>
    <x v="2"/>
    <x v="19"/>
    <x v="1"/>
    <x v="1"/>
    <x v="0"/>
  </r>
  <r>
    <s v=""/>
    <x v="81"/>
    <x v="0"/>
    <x v="0"/>
    <x v="29"/>
    <s v="CS"/>
    <s v="PI-2016038"/>
    <n v="0"/>
    <n v="0.22"/>
    <n v="0"/>
    <x v="110"/>
    <x v="15"/>
    <x v="29"/>
    <x v="2"/>
    <x v="0"/>
  </r>
  <r>
    <s v=""/>
    <x v="82"/>
    <x v="1"/>
    <x v="5"/>
    <x v="52"/>
    <s v="CS"/>
    <s v="PI-2018023"/>
    <n v="194"/>
    <n v="0"/>
    <n v="0"/>
    <x v="111"/>
    <x v="2"/>
    <x v="7"/>
    <x v="1"/>
    <x v="1"/>
  </r>
  <r>
    <s v=""/>
    <x v="82"/>
    <x v="1"/>
    <x v="2"/>
    <x v="52"/>
    <s v="CS"/>
    <s v="PI-2018017"/>
    <n v="0"/>
    <n v="7"/>
    <n v="0"/>
    <x v="26"/>
    <x v="2"/>
    <x v="8"/>
    <x v="1"/>
    <x v="1"/>
  </r>
  <r>
    <s v=""/>
    <x v="83"/>
    <x v="1"/>
    <x v="5"/>
    <x v="53"/>
    <s v="CS"/>
    <s v="PI-2018023"/>
    <n v="445"/>
    <n v="0"/>
    <n v="0"/>
    <x v="112"/>
    <x v="2"/>
    <x v="7"/>
    <x v="1"/>
    <x v="1"/>
  </r>
  <r>
    <s v=""/>
    <x v="84"/>
    <x v="0"/>
    <x v="0"/>
    <x v="54"/>
    <s v="CS"/>
    <s v="PI-2018023"/>
    <n v="303"/>
    <n v="0"/>
    <n v="0"/>
    <x v="113"/>
    <x v="2"/>
    <x v="7"/>
    <x v="1"/>
    <x v="0"/>
  </r>
  <r>
    <s v=""/>
    <x v="84"/>
    <x v="1"/>
    <x v="4"/>
    <x v="54"/>
    <s v="CS"/>
    <s v="PI-2018023"/>
    <n v="942"/>
    <n v="0"/>
    <n v="0"/>
    <x v="114"/>
    <x v="2"/>
    <x v="7"/>
    <x v="1"/>
    <x v="0"/>
  </r>
  <r>
    <s v=""/>
    <x v="84"/>
    <x v="1"/>
    <x v="5"/>
    <x v="54"/>
    <s v="CS"/>
    <s v="PI-2018023"/>
    <n v="176"/>
    <n v="0"/>
    <n v="0"/>
    <x v="115"/>
    <x v="2"/>
    <x v="7"/>
    <x v="1"/>
    <x v="1"/>
  </r>
  <r>
    <s v=""/>
    <x v="84"/>
    <x v="1"/>
    <x v="2"/>
    <x v="54"/>
    <s v="CS"/>
    <s v="PI-2018023"/>
    <n v="0"/>
    <n v="91"/>
    <n v="0"/>
    <x v="116"/>
    <x v="2"/>
    <x v="7"/>
    <x v="1"/>
    <x v="1"/>
  </r>
  <r>
    <s v=""/>
    <x v="85"/>
    <x v="0"/>
    <x v="0"/>
    <x v="55"/>
    <s v="CS"/>
    <s v="PI-2018022"/>
    <n v="1166"/>
    <n v="0"/>
    <n v="0"/>
    <x v="117"/>
    <x v="2"/>
    <x v="10"/>
    <x v="1"/>
    <x v="0"/>
  </r>
  <r>
    <s v=""/>
    <x v="85"/>
    <x v="1"/>
    <x v="4"/>
    <x v="55"/>
    <s v="CS"/>
    <s v="PI-2018020"/>
    <n v="30"/>
    <n v="0"/>
    <n v="0"/>
    <x v="3"/>
    <x v="2"/>
    <x v="12"/>
    <x v="1"/>
    <x v="0"/>
  </r>
  <r>
    <s v=""/>
    <x v="85"/>
    <x v="1"/>
    <x v="4"/>
    <x v="55"/>
    <s v="CS"/>
    <s v="PI-2018022"/>
    <n v="580"/>
    <n v="0"/>
    <n v="0"/>
    <x v="118"/>
    <x v="2"/>
    <x v="10"/>
    <x v="1"/>
    <x v="0"/>
  </r>
  <r>
    <s v=""/>
    <x v="85"/>
    <x v="1"/>
    <x v="3"/>
    <x v="55"/>
    <s v="CS"/>
    <s v="PI-2018022"/>
    <n v="448"/>
    <n v="0"/>
    <n v="0"/>
    <x v="119"/>
    <x v="2"/>
    <x v="10"/>
    <x v="1"/>
    <x v="0"/>
  </r>
  <r>
    <s v=""/>
    <x v="86"/>
    <x v="1"/>
    <x v="5"/>
    <x v="55"/>
    <s v="CS"/>
    <s v="PI-2018023"/>
    <n v="509"/>
    <n v="0"/>
    <n v="0"/>
    <x v="120"/>
    <x v="2"/>
    <x v="7"/>
    <x v="1"/>
    <x v="1"/>
  </r>
  <r>
    <s v=""/>
    <x v="86"/>
    <x v="1"/>
    <x v="2"/>
    <x v="55"/>
    <s v="CS"/>
    <s v="PI-2018023"/>
    <n v="0"/>
    <n v="256"/>
    <n v="0"/>
    <x v="121"/>
    <x v="2"/>
    <x v="7"/>
    <x v="1"/>
    <x v="1"/>
  </r>
  <r>
    <s v=""/>
    <x v="87"/>
    <x v="0"/>
    <x v="0"/>
    <x v="56"/>
    <s v="CS"/>
    <s v="PI-2018023"/>
    <n v="434"/>
    <n v="0"/>
    <n v="0"/>
    <x v="122"/>
    <x v="2"/>
    <x v="7"/>
    <x v="1"/>
    <x v="0"/>
  </r>
  <r>
    <s v=""/>
    <x v="87"/>
    <x v="1"/>
    <x v="4"/>
    <x v="56"/>
    <s v="CS"/>
    <s v="PI-2018023"/>
    <n v="868"/>
    <n v="0"/>
    <n v="0"/>
    <x v="123"/>
    <x v="2"/>
    <x v="7"/>
    <x v="1"/>
    <x v="0"/>
  </r>
  <r>
    <s v=""/>
    <x v="87"/>
    <x v="1"/>
    <x v="2"/>
    <x v="56"/>
    <s v="CS"/>
    <s v="PI-2018020"/>
    <n v="0"/>
    <n v="19"/>
    <n v="0"/>
    <x v="124"/>
    <x v="2"/>
    <x v="12"/>
    <x v="1"/>
    <x v="1"/>
  </r>
  <r>
    <s v=""/>
    <x v="88"/>
    <x v="0"/>
    <x v="0"/>
    <x v="57"/>
    <s v="CS"/>
    <s v="PI-2018023"/>
    <n v="506"/>
    <n v="0"/>
    <n v="0"/>
    <x v="125"/>
    <x v="2"/>
    <x v="7"/>
    <x v="1"/>
    <x v="0"/>
  </r>
  <r>
    <s v=""/>
    <x v="88"/>
    <x v="1"/>
    <x v="4"/>
    <x v="57"/>
    <s v="CS"/>
    <s v="PI-2018023"/>
    <n v="336"/>
    <n v="0"/>
    <n v="0"/>
    <x v="73"/>
    <x v="2"/>
    <x v="7"/>
    <x v="1"/>
    <x v="0"/>
  </r>
  <r>
    <s v=""/>
    <x v="88"/>
    <x v="1"/>
    <x v="5"/>
    <x v="57"/>
    <s v="CS"/>
    <s v="PI-2018023"/>
    <n v="78"/>
    <n v="0"/>
    <n v="0"/>
    <x v="83"/>
    <x v="2"/>
    <x v="7"/>
    <x v="1"/>
    <x v="1"/>
  </r>
  <r>
    <s v=""/>
    <x v="88"/>
    <x v="1"/>
    <x v="2"/>
    <x v="57"/>
    <s v="CS"/>
    <s v="PI-2018023"/>
    <n v="67"/>
    <n v="0"/>
    <n v="0"/>
    <x v="126"/>
    <x v="2"/>
    <x v="7"/>
    <x v="1"/>
    <x v="1"/>
  </r>
  <r>
    <s v=""/>
    <x v="89"/>
    <x v="0"/>
    <x v="0"/>
    <x v="58"/>
    <s v="CS"/>
    <s v="PI-2018022"/>
    <n v="1006"/>
    <n v="0"/>
    <n v="0"/>
    <x v="127"/>
    <x v="2"/>
    <x v="10"/>
    <x v="1"/>
    <x v="0"/>
  </r>
  <r>
    <s v=""/>
    <x v="89"/>
    <x v="1"/>
    <x v="3"/>
    <x v="58"/>
    <s v="CS"/>
    <s v="PI-2018022"/>
    <n v="1"/>
    <n v="0"/>
    <n v="0"/>
    <x v="2"/>
    <x v="2"/>
    <x v="10"/>
    <x v="1"/>
    <x v="0"/>
  </r>
  <r>
    <s v=""/>
    <x v="90"/>
    <x v="0"/>
    <x v="0"/>
    <x v="59"/>
    <s v="CS"/>
    <s v="PI-2018022"/>
    <n v="509"/>
    <n v="0"/>
    <n v="0"/>
    <x v="120"/>
    <x v="2"/>
    <x v="10"/>
    <x v="1"/>
    <x v="0"/>
  </r>
  <r>
    <s v=""/>
    <x v="90"/>
    <x v="1"/>
    <x v="3"/>
    <x v="59"/>
    <s v="CS"/>
    <s v="PI-2018017"/>
    <n v="1"/>
    <n v="0"/>
    <n v="0"/>
    <x v="2"/>
    <x v="2"/>
    <x v="8"/>
    <x v="1"/>
    <x v="0"/>
  </r>
  <r>
    <s v=""/>
    <x v="91"/>
    <x v="0"/>
    <x v="0"/>
    <x v="60"/>
    <s v="CS"/>
    <s v="PI-2018021"/>
    <n v="103"/>
    <n v="0"/>
    <n v="0"/>
    <x v="84"/>
    <x v="2"/>
    <x v="3"/>
    <x v="1"/>
    <x v="0"/>
  </r>
  <r>
    <s v=""/>
    <x v="92"/>
    <x v="1"/>
    <x v="2"/>
    <x v="61"/>
    <s v="CS"/>
    <s v="PI-2018018"/>
    <n v="0"/>
    <n v="5"/>
    <n v="0"/>
    <x v="42"/>
    <x v="2"/>
    <x v="1"/>
    <x v="1"/>
    <x v="1"/>
  </r>
  <r>
    <s v=""/>
    <x v="93"/>
    <x v="0"/>
    <x v="0"/>
    <x v="62"/>
    <s v="CS"/>
    <s v="PI-2018020"/>
    <n v="1"/>
    <n v="0"/>
    <n v="0"/>
    <x v="2"/>
    <x v="2"/>
    <x v="12"/>
    <x v="1"/>
    <x v="0"/>
  </r>
  <r>
    <s v=""/>
    <x v="93"/>
    <x v="0"/>
    <x v="0"/>
    <x v="62"/>
    <s v="CS"/>
    <s v="PI-2018021"/>
    <n v="26"/>
    <n v="0"/>
    <n v="0"/>
    <x v="97"/>
    <x v="2"/>
    <x v="3"/>
    <x v="1"/>
    <x v="0"/>
  </r>
  <r>
    <s v=""/>
    <x v="94"/>
    <x v="0"/>
    <x v="0"/>
    <x v="63"/>
    <s v="CS"/>
    <s v="PI-2018021"/>
    <n v="5"/>
    <n v="0"/>
    <n v="0"/>
    <x v="42"/>
    <x v="2"/>
    <x v="3"/>
    <x v="1"/>
    <x v="0"/>
  </r>
  <r>
    <s v=""/>
    <x v="94"/>
    <x v="1"/>
    <x v="5"/>
    <x v="63"/>
    <s v="CS"/>
    <s v="PI-2018023"/>
    <n v="71"/>
    <n v="0"/>
    <n v="0"/>
    <x v="128"/>
    <x v="2"/>
    <x v="7"/>
    <x v="1"/>
    <x v="1"/>
  </r>
  <r>
    <s v=""/>
    <x v="95"/>
    <x v="1"/>
    <x v="2"/>
    <x v="64"/>
    <s v="CS"/>
    <s v="PI-2018011"/>
    <n v="0"/>
    <n v="8"/>
    <n v="0"/>
    <x v="12"/>
    <x v="2"/>
    <x v="9"/>
    <x v="1"/>
    <x v="1"/>
  </r>
  <r>
    <s v=""/>
    <x v="96"/>
    <x v="1"/>
    <x v="4"/>
    <x v="65"/>
    <s v="CS"/>
    <s v="PI-2018023"/>
    <n v="397"/>
    <n v="0"/>
    <n v="0"/>
    <x v="129"/>
    <x v="2"/>
    <x v="7"/>
    <x v="1"/>
    <x v="0"/>
  </r>
  <r>
    <s v=""/>
    <x v="96"/>
    <x v="1"/>
    <x v="2"/>
    <x v="65"/>
    <s v="CS"/>
    <s v="PI-2018023"/>
    <n v="48"/>
    <n v="0"/>
    <n v="0"/>
    <x v="10"/>
    <x v="2"/>
    <x v="7"/>
    <x v="1"/>
    <x v="1"/>
  </r>
  <r>
    <s v=""/>
    <x v="97"/>
    <x v="1"/>
    <x v="4"/>
    <x v="65"/>
    <s v="CS"/>
    <s v="PI-2018023"/>
    <n v="240"/>
    <n v="0"/>
    <n v="0"/>
    <x v="130"/>
    <x v="2"/>
    <x v="7"/>
    <x v="1"/>
    <x v="0"/>
  </r>
  <r>
    <s v=""/>
    <x v="97"/>
    <x v="1"/>
    <x v="5"/>
    <x v="65"/>
    <s v="CS"/>
    <s v="PI-2018023"/>
    <n v="10"/>
    <n v="0"/>
    <n v="0"/>
    <x v="105"/>
    <x v="2"/>
    <x v="7"/>
    <x v="1"/>
    <x v="1"/>
  </r>
  <r>
    <s v=""/>
    <x v="97"/>
    <x v="1"/>
    <x v="2"/>
    <x v="65"/>
    <s v="CS"/>
    <s v="PI-2018023"/>
    <n v="40"/>
    <n v="0"/>
    <n v="0"/>
    <x v="131"/>
    <x v="2"/>
    <x v="7"/>
    <x v="1"/>
    <x v="1"/>
  </r>
  <r>
    <s v=""/>
    <x v="98"/>
    <x v="1"/>
    <x v="7"/>
    <x v="66"/>
    <s v="CS"/>
    <s v="PI-2017045"/>
    <n v="0"/>
    <n v="0"/>
    <n v="59"/>
    <x v="132"/>
    <x v="2"/>
    <x v="30"/>
    <x v="0"/>
    <x v="2"/>
  </r>
  <r>
    <s v=""/>
    <x v="98"/>
    <x v="1"/>
    <x v="2"/>
    <x v="66"/>
    <s v="CS"/>
    <s v="PI-2018018"/>
    <n v="0"/>
    <n v="181"/>
    <n v="0"/>
    <x v="133"/>
    <x v="2"/>
    <x v="1"/>
    <x v="1"/>
    <x v="1"/>
  </r>
  <r>
    <s v=""/>
    <x v="99"/>
    <x v="0"/>
    <x v="0"/>
    <x v="67"/>
    <s v="CS"/>
    <s v="PI-2018022"/>
    <n v="646"/>
    <n v="0"/>
    <n v="0"/>
    <x v="134"/>
    <x v="2"/>
    <x v="10"/>
    <x v="1"/>
    <x v="0"/>
  </r>
  <r>
    <s v=""/>
    <x v="100"/>
    <x v="0"/>
    <x v="0"/>
    <x v="68"/>
    <s v="CS"/>
    <s v="PI-2018022"/>
    <n v="285"/>
    <n v="0"/>
    <n v="0"/>
    <x v="135"/>
    <x v="2"/>
    <x v="10"/>
    <x v="1"/>
    <x v="0"/>
  </r>
  <r>
    <s v=""/>
    <x v="100"/>
    <x v="1"/>
    <x v="2"/>
    <x v="68"/>
    <s v="CS"/>
    <s v="PI-2018018"/>
    <n v="0"/>
    <n v="7"/>
    <n v="0"/>
    <x v="26"/>
    <x v="2"/>
    <x v="1"/>
    <x v="1"/>
    <x v="1"/>
  </r>
  <r>
    <s v=""/>
    <x v="100"/>
    <x v="1"/>
    <x v="2"/>
    <x v="68"/>
    <s v="CS"/>
    <s v="PI-2018020"/>
    <n v="0"/>
    <n v="17"/>
    <n v="0"/>
    <x v="136"/>
    <x v="2"/>
    <x v="12"/>
    <x v="1"/>
    <x v="1"/>
  </r>
  <r>
    <s v=""/>
    <x v="101"/>
    <x v="0"/>
    <x v="0"/>
    <x v="23"/>
    <s v="CS"/>
    <s v="PI-2018023"/>
    <n v="96"/>
    <n v="0"/>
    <n v="0"/>
    <x v="137"/>
    <x v="20"/>
    <x v="7"/>
    <x v="1"/>
    <x v="0"/>
  </r>
  <r>
    <s v=""/>
    <x v="101"/>
    <x v="1"/>
    <x v="4"/>
    <x v="23"/>
    <s v="CS"/>
    <s v="PI-2018023"/>
    <n v="5"/>
    <n v="0"/>
    <n v="0"/>
    <x v="42"/>
    <x v="20"/>
    <x v="7"/>
    <x v="1"/>
    <x v="0"/>
  </r>
  <r>
    <s v=""/>
    <x v="101"/>
    <x v="1"/>
    <x v="2"/>
    <x v="23"/>
    <s v="CS"/>
    <s v="PI-2018023"/>
    <n v="13"/>
    <n v="0"/>
    <n v="0"/>
    <x v="138"/>
    <x v="20"/>
    <x v="7"/>
    <x v="1"/>
    <x v="1"/>
  </r>
  <r>
    <s v=""/>
    <x v="102"/>
    <x v="1"/>
    <x v="1"/>
    <x v="69"/>
    <s v="CS"/>
    <s v="PI-2018017"/>
    <n v="0"/>
    <n v="0"/>
    <n v="10"/>
    <x v="105"/>
    <x v="20"/>
    <x v="8"/>
    <x v="1"/>
    <x v="1"/>
  </r>
  <r>
    <s v=""/>
    <x v="102"/>
    <x v="1"/>
    <x v="3"/>
    <x v="69"/>
    <s v="CS"/>
    <s v="PI-2018017"/>
    <n v="1"/>
    <n v="0"/>
    <n v="0"/>
    <x v="2"/>
    <x v="20"/>
    <x v="8"/>
    <x v="1"/>
    <x v="0"/>
  </r>
  <r>
    <s v=""/>
    <x v="103"/>
    <x v="1"/>
    <x v="1"/>
    <x v="70"/>
    <s v="CS"/>
    <s v="PI-2018016"/>
    <n v="3"/>
    <n v="0"/>
    <n v="0"/>
    <x v="4"/>
    <x v="18"/>
    <x v="15"/>
    <x v="1"/>
    <x v="1"/>
  </r>
  <r>
    <s v=""/>
    <x v="104"/>
    <x v="0"/>
    <x v="0"/>
    <x v="70"/>
    <s v="CS"/>
    <s v="PI-2018021"/>
    <n v="500"/>
    <n v="0"/>
    <n v="0"/>
    <x v="139"/>
    <x v="18"/>
    <x v="3"/>
    <x v="1"/>
    <x v="0"/>
  </r>
  <r>
    <s v=""/>
    <x v="105"/>
    <x v="0"/>
    <x v="0"/>
    <x v="71"/>
    <s v="CS"/>
    <s v="PI-2018021"/>
    <n v="89"/>
    <n v="0"/>
    <n v="0"/>
    <x v="140"/>
    <x v="18"/>
    <x v="3"/>
    <x v="1"/>
    <x v="0"/>
  </r>
  <r>
    <s v=""/>
    <x v="105"/>
    <x v="1"/>
    <x v="4"/>
    <x v="71"/>
    <s v="CS"/>
    <s v="PI-2018021"/>
    <n v="210"/>
    <n v="0"/>
    <n v="0"/>
    <x v="65"/>
    <x v="18"/>
    <x v="3"/>
    <x v="1"/>
    <x v="0"/>
  </r>
  <r>
    <s v=""/>
    <x v="106"/>
    <x v="1"/>
    <x v="1"/>
    <x v="26"/>
    <s v="CS"/>
    <s v="PI-2018016"/>
    <n v="1"/>
    <n v="0"/>
    <n v="0"/>
    <x v="2"/>
    <x v="18"/>
    <x v="15"/>
    <x v="1"/>
    <x v="1"/>
  </r>
  <r>
    <s v=""/>
    <x v="107"/>
    <x v="1"/>
    <x v="4"/>
    <x v="72"/>
    <s v="CS"/>
    <s v="PI-2018015"/>
    <n v="6"/>
    <n v="0"/>
    <n v="0"/>
    <x v="99"/>
    <x v="15"/>
    <x v="5"/>
    <x v="1"/>
    <x v="0"/>
  </r>
  <r>
    <s v=""/>
    <x v="107"/>
    <x v="1"/>
    <x v="4"/>
    <x v="72"/>
    <s v="CS"/>
    <s v="PI-2018021"/>
    <n v="1"/>
    <n v="0"/>
    <n v="0"/>
    <x v="2"/>
    <x v="15"/>
    <x v="3"/>
    <x v="1"/>
    <x v="0"/>
  </r>
  <r>
    <s v=""/>
    <x v="107"/>
    <x v="1"/>
    <x v="1"/>
    <x v="72"/>
    <s v="CS"/>
    <s v="PI-2018008"/>
    <n v="0"/>
    <n v="0"/>
    <n v="1"/>
    <x v="2"/>
    <x v="15"/>
    <x v="31"/>
    <x v="1"/>
    <x v="1"/>
  </r>
  <r>
    <s v=""/>
    <x v="107"/>
    <x v="1"/>
    <x v="1"/>
    <x v="72"/>
    <s v="CS"/>
    <s v="PI-2018015"/>
    <n v="1"/>
    <n v="0"/>
    <n v="0"/>
    <x v="2"/>
    <x v="15"/>
    <x v="5"/>
    <x v="1"/>
    <x v="1"/>
  </r>
  <r>
    <s v=""/>
    <x v="107"/>
    <x v="1"/>
    <x v="3"/>
    <x v="72"/>
    <s v="CS"/>
    <s v="PI-2018015"/>
    <n v="6"/>
    <n v="0"/>
    <n v="0"/>
    <x v="99"/>
    <x v="15"/>
    <x v="5"/>
    <x v="1"/>
    <x v="0"/>
  </r>
  <r>
    <s v=""/>
    <x v="108"/>
    <x v="0"/>
    <x v="0"/>
    <x v="32"/>
    <s v="CS"/>
    <s v="PI-2018011"/>
    <n v="2"/>
    <n v="0"/>
    <n v="0"/>
    <x v="5"/>
    <x v="15"/>
    <x v="9"/>
    <x v="1"/>
    <x v="0"/>
  </r>
  <r>
    <s v=""/>
    <x v="108"/>
    <x v="0"/>
    <x v="0"/>
    <x v="32"/>
    <s v="CS"/>
    <s v="PI-2018023"/>
    <n v="121"/>
    <n v="0"/>
    <n v="0"/>
    <x v="100"/>
    <x v="15"/>
    <x v="7"/>
    <x v="1"/>
    <x v="0"/>
  </r>
  <r>
    <s v=""/>
    <x v="108"/>
    <x v="1"/>
    <x v="3"/>
    <x v="32"/>
    <s v="CS"/>
    <s v="PI-2018007"/>
    <n v="2"/>
    <n v="0"/>
    <n v="0"/>
    <x v="5"/>
    <x v="15"/>
    <x v="32"/>
    <x v="1"/>
    <x v="0"/>
  </r>
  <r>
    <s v=""/>
    <x v="109"/>
    <x v="1"/>
    <x v="5"/>
    <x v="23"/>
    <s v="CS"/>
    <s v="PI-2018023"/>
    <n v="71"/>
    <n v="0"/>
    <n v="0"/>
    <x v="128"/>
    <x v="15"/>
    <x v="7"/>
    <x v="1"/>
    <x v="1"/>
  </r>
  <r>
    <s v=""/>
    <x v="109"/>
    <x v="1"/>
    <x v="2"/>
    <x v="23"/>
    <s v="CS"/>
    <s v="PI-2018021"/>
    <n v="0"/>
    <n v="5"/>
    <n v="0"/>
    <x v="42"/>
    <x v="15"/>
    <x v="3"/>
    <x v="1"/>
    <x v="1"/>
  </r>
  <r>
    <s v=""/>
    <x v="109"/>
    <x v="1"/>
    <x v="3"/>
    <x v="23"/>
    <s v="CS"/>
    <s v="PI-2018004"/>
    <n v="2"/>
    <n v="0"/>
    <n v="0"/>
    <x v="5"/>
    <x v="15"/>
    <x v="6"/>
    <x v="1"/>
    <x v="0"/>
  </r>
  <r>
    <s v=""/>
    <x v="109"/>
    <x v="1"/>
    <x v="3"/>
    <x v="23"/>
    <s v="CS"/>
    <s v="PI-2018005"/>
    <n v="2"/>
    <n v="0"/>
    <n v="0"/>
    <x v="5"/>
    <x v="15"/>
    <x v="26"/>
    <x v="1"/>
    <x v="0"/>
  </r>
  <r>
    <s v=""/>
    <x v="110"/>
    <x v="1"/>
    <x v="7"/>
    <x v="37"/>
    <s v="CS"/>
    <s v="PI-2018015"/>
    <n v="0"/>
    <n v="0"/>
    <n v="10"/>
    <x v="105"/>
    <x v="15"/>
    <x v="5"/>
    <x v="1"/>
    <x v="2"/>
  </r>
  <r>
    <s v=""/>
    <x v="110"/>
    <x v="1"/>
    <x v="1"/>
    <x v="37"/>
    <s v="CS"/>
    <s v="PI-2018011"/>
    <n v="0"/>
    <n v="0"/>
    <n v="3"/>
    <x v="4"/>
    <x v="15"/>
    <x v="9"/>
    <x v="1"/>
    <x v="1"/>
  </r>
  <r>
    <s v=""/>
    <x v="111"/>
    <x v="0"/>
    <x v="0"/>
    <x v="73"/>
    <s v="CS"/>
    <s v="PI-2018021"/>
    <n v="30"/>
    <n v="0"/>
    <n v="0"/>
    <x v="3"/>
    <x v="18"/>
    <x v="3"/>
    <x v="1"/>
    <x v="0"/>
  </r>
  <r>
    <s v=""/>
    <x v="111"/>
    <x v="1"/>
    <x v="4"/>
    <x v="73"/>
    <s v="CS"/>
    <s v="PI-2018021"/>
    <n v="72"/>
    <n v="0"/>
    <n v="0"/>
    <x v="141"/>
    <x v="18"/>
    <x v="3"/>
    <x v="1"/>
    <x v="0"/>
  </r>
  <r>
    <s v=""/>
    <x v="112"/>
    <x v="1"/>
    <x v="3"/>
    <x v="74"/>
    <s v="CS"/>
    <s v="PI-2018018"/>
    <n v="1"/>
    <n v="0"/>
    <n v="0"/>
    <x v="2"/>
    <x v="2"/>
    <x v="1"/>
    <x v="1"/>
    <x v="0"/>
  </r>
  <r>
    <s v=""/>
    <x v="113"/>
    <x v="0"/>
    <x v="0"/>
    <x v="24"/>
    <s v="CS"/>
    <s v="PI-2018021"/>
    <n v="3"/>
    <n v="0"/>
    <n v="0"/>
    <x v="4"/>
    <x v="14"/>
    <x v="3"/>
    <x v="1"/>
    <x v="0"/>
  </r>
  <r>
    <s v=""/>
    <x v="114"/>
    <x v="0"/>
    <x v="0"/>
    <x v="27"/>
    <s v="CS"/>
    <s v="PI-2018019"/>
    <n v="4"/>
    <n v="0"/>
    <n v="0"/>
    <x v="69"/>
    <x v="21"/>
    <x v="4"/>
    <x v="1"/>
    <x v="0"/>
  </r>
  <r>
    <s v=""/>
    <x v="114"/>
    <x v="1"/>
    <x v="4"/>
    <x v="27"/>
    <s v="CS"/>
    <s v="PI-2018023"/>
    <n v="80"/>
    <n v="0"/>
    <n v="0"/>
    <x v="77"/>
    <x v="21"/>
    <x v="7"/>
    <x v="1"/>
    <x v="0"/>
  </r>
  <r>
    <s v=""/>
    <x v="115"/>
    <x v="0"/>
    <x v="0"/>
    <x v="24"/>
    <s v="CS"/>
    <s v="PI-2018021"/>
    <n v="3"/>
    <n v="0"/>
    <n v="0"/>
    <x v="4"/>
    <x v="0"/>
    <x v="3"/>
    <x v="1"/>
    <x v="0"/>
  </r>
  <r>
    <s v=""/>
    <x v="115"/>
    <x v="1"/>
    <x v="4"/>
    <x v="24"/>
    <s v="CS"/>
    <s v="PI-2018018"/>
    <n v="3"/>
    <n v="0"/>
    <n v="0"/>
    <x v="4"/>
    <x v="0"/>
    <x v="1"/>
    <x v="1"/>
    <x v="0"/>
  </r>
  <r>
    <s v=""/>
    <x v="116"/>
    <x v="1"/>
    <x v="1"/>
    <x v="75"/>
    <s v="CS"/>
    <s v="PI-2018010"/>
    <n v="0"/>
    <n v="0"/>
    <n v="1"/>
    <x v="2"/>
    <x v="18"/>
    <x v="19"/>
    <x v="1"/>
    <x v="1"/>
  </r>
  <r>
    <s v=""/>
    <x v="117"/>
    <x v="0"/>
    <x v="0"/>
    <x v="75"/>
    <s v="CS"/>
    <s v="PI-2018021"/>
    <n v="122"/>
    <n v="0"/>
    <n v="0"/>
    <x v="81"/>
    <x v="18"/>
    <x v="3"/>
    <x v="1"/>
    <x v="0"/>
  </r>
  <r>
    <s v=""/>
    <x v="117"/>
    <x v="1"/>
    <x v="4"/>
    <x v="75"/>
    <s v="CS"/>
    <s v="PI-2018021"/>
    <n v="586"/>
    <n v="0"/>
    <n v="0"/>
    <x v="142"/>
    <x v="18"/>
    <x v="3"/>
    <x v="1"/>
    <x v="0"/>
  </r>
  <r>
    <s v=""/>
    <x v="118"/>
    <x v="1"/>
    <x v="1"/>
    <x v="37"/>
    <s v="CS"/>
    <s v="PI-2018001"/>
    <n v="0"/>
    <n v="0"/>
    <n v="1"/>
    <x v="2"/>
    <x v="18"/>
    <x v="23"/>
    <x v="1"/>
    <x v="1"/>
  </r>
  <r>
    <s v=""/>
    <x v="118"/>
    <x v="1"/>
    <x v="2"/>
    <x v="37"/>
    <s v="CS"/>
    <s v="PI-2018010"/>
    <n v="0"/>
    <n v="2"/>
    <n v="0"/>
    <x v="5"/>
    <x v="18"/>
    <x v="19"/>
    <x v="1"/>
    <x v="1"/>
  </r>
  <r>
    <s v=""/>
    <x v="119"/>
    <x v="0"/>
    <x v="0"/>
    <x v="37"/>
    <s v="CS"/>
    <s v="PI-2018021"/>
    <n v="100"/>
    <n v="0"/>
    <n v="0"/>
    <x v="143"/>
    <x v="18"/>
    <x v="3"/>
    <x v="1"/>
    <x v="0"/>
  </r>
  <r>
    <s v=""/>
    <x v="119"/>
    <x v="1"/>
    <x v="4"/>
    <x v="37"/>
    <s v="CS"/>
    <s v="PI-2018021"/>
    <n v="1"/>
    <n v="0"/>
    <n v="0"/>
    <x v="2"/>
    <x v="18"/>
    <x v="3"/>
    <x v="1"/>
    <x v="0"/>
  </r>
  <r>
    <s v=""/>
    <x v="120"/>
    <x v="0"/>
    <x v="0"/>
    <x v="76"/>
    <s v="CS"/>
    <s v="PI-2018014"/>
    <n v="4"/>
    <n v="0"/>
    <n v="0"/>
    <x v="69"/>
    <x v="9"/>
    <x v="16"/>
    <x v="1"/>
    <x v="0"/>
  </r>
  <r>
    <s v=""/>
    <x v="120"/>
    <x v="0"/>
    <x v="0"/>
    <x v="76"/>
    <s v="CS"/>
    <s v="PI-2018023"/>
    <n v="71"/>
    <n v="0"/>
    <n v="0"/>
    <x v="128"/>
    <x v="9"/>
    <x v="7"/>
    <x v="1"/>
    <x v="0"/>
  </r>
  <r>
    <s v=""/>
    <x v="120"/>
    <x v="1"/>
    <x v="4"/>
    <x v="76"/>
    <s v="CS"/>
    <s v="PI-2018023"/>
    <n v="10"/>
    <n v="0"/>
    <n v="0"/>
    <x v="105"/>
    <x v="9"/>
    <x v="7"/>
    <x v="1"/>
    <x v="0"/>
  </r>
  <r>
    <s v=""/>
    <x v="121"/>
    <x v="1"/>
    <x v="4"/>
    <x v="27"/>
    <s v="CS"/>
    <s v="PI-2018023"/>
    <n v="90"/>
    <n v="0"/>
    <n v="0"/>
    <x v="39"/>
    <x v="14"/>
    <x v="7"/>
    <x v="1"/>
    <x v="0"/>
  </r>
  <r>
    <s v=""/>
    <x v="122"/>
    <x v="0"/>
    <x v="0"/>
    <x v="77"/>
    <s v="CS"/>
    <s v="PI-2018021"/>
    <n v="113"/>
    <n v="0"/>
    <n v="0"/>
    <x v="144"/>
    <x v="2"/>
    <x v="3"/>
    <x v="1"/>
    <x v="0"/>
  </r>
  <r>
    <s v=""/>
    <x v="122"/>
    <x v="0"/>
    <x v="0"/>
    <x v="77"/>
    <s v="CS"/>
    <s v="PI-2018022"/>
    <n v="22"/>
    <n v="0"/>
    <n v="0"/>
    <x v="13"/>
    <x v="2"/>
    <x v="10"/>
    <x v="1"/>
    <x v="0"/>
  </r>
  <r>
    <s v=""/>
    <x v="122"/>
    <x v="1"/>
    <x v="4"/>
    <x v="77"/>
    <s v="CS"/>
    <s v="PI-2018021"/>
    <n v="253"/>
    <n v="0"/>
    <n v="0"/>
    <x v="145"/>
    <x v="2"/>
    <x v="3"/>
    <x v="1"/>
    <x v="0"/>
  </r>
  <r>
    <s v=""/>
    <x v="122"/>
    <x v="1"/>
    <x v="4"/>
    <x v="77"/>
    <s v="CS"/>
    <s v="PI-2018022"/>
    <n v="97"/>
    <n v="0"/>
    <n v="0"/>
    <x v="146"/>
    <x v="2"/>
    <x v="10"/>
    <x v="1"/>
    <x v="0"/>
  </r>
  <r>
    <s v=""/>
    <x v="122"/>
    <x v="1"/>
    <x v="7"/>
    <x v="77"/>
    <s v="CS"/>
    <s v="PI-2018015"/>
    <n v="0"/>
    <n v="0"/>
    <n v="18"/>
    <x v="147"/>
    <x v="2"/>
    <x v="5"/>
    <x v="1"/>
    <x v="2"/>
  </r>
  <r>
    <s v=""/>
    <x v="122"/>
    <x v="1"/>
    <x v="2"/>
    <x v="77"/>
    <s v="CS"/>
    <s v="PI-2018015"/>
    <n v="0"/>
    <n v="24"/>
    <n v="0"/>
    <x v="148"/>
    <x v="2"/>
    <x v="5"/>
    <x v="1"/>
    <x v="1"/>
  </r>
  <r>
    <s v=""/>
    <x v="123"/>
    <x v="0"/>
    <x v="0"/>
    <x v="78"/>
    <s v="CS"/>
    <s v="PI-2018023"/>
    <n v="30"/>
    <n v="0"/>
    <n v="0"/>
    <x v="3"/>
    <x v="9"/>
    <x v="7"/>
    <x v="1"/>
    <x v="0"/>
  </r>
  <r>
    <s v=""/>
    <x v="123"/>
    <x v="1"/>
    <x v="4"/>
    <x v="78"/>
    <s v="CS"/>
    <s v="PI-2018023"/>
    <n v="14"/>
    <n v="0"/>
    <n v="0"/>
    <x v="0"/>
    <x v="9"/>
    <x v="7"/>
    <x v="1"/>
    <x v="0"/>
  </r>
  <r>
    <s v=""/>
    <x v="124"/>
    <x v="1"/>
    <x v="6"/>
    <x v="79"/>
    <s v="CS"/>
    <s v="PI-2015053"/>
    <n v="0"/>
    <n v="0"/>
    <n v="3.1259999999999999"/>
    <x v="149"/>
    <x v="3"/>
    <x v="33"/>
    <x v="3"/>
    <x v="2"/>
  </r>
  <r>
    <s v=""/>
    <x v="125"/>
    <x v="0"/>
    <x v="0"/>
    <x v="80"/>
    <s v="CS"/>
    <s v="PI-2018021"/>
    <n v="3"/>
    <n v="0"/>
    <n v="0"/>
    <x v="4"/>
    <x v="3"/>
    <x v="3"/>
    <x v="1"/>
    <x v="0"/>
  </r>
  <r>
    <s v=""/>
    <x v="125"/>
    <x v="1"/>
    <x v="1"/>
    <x v="80"/>
    <s v="CS"/>
    <s v="PI-2018001"/>
    <n v="0"/>
    <n v="0"/>
    <n v="1"/>
    <x v="2"/>
    <x v="3"/>
    <x v="23"/>
    <x v="1"/>
    <x v="1"/>
  </r>
  <r>
    <s v=""/>
    <x v="126"/>
    <x v="1"/>
    <x v="3"/>
    <x v="70"/>
    <s v="CS"/>
    <s v="PI-2017051"/>
    <n v="5"/>
    <n v="0"/>
    <n v="0"/>
    <x v="42"/>
    <x v="19"/>
    <x v="34"/>
    <x v="0"/>
    <x v="0"/>
  </r>
  <r>
    <s v=""/>
    <x v="127"/>
    <x v="1"/>
    <x v="2"/>
    <x v="81"/>
    <s v="CS"/>
    <s v="PI-2017038"/>
    <n v="1"/>
    <n v="0"/>
    <n v="0"/>
    <x v="2"/>
    <x v="5"/>
    <x v="29"/>
    <x v="0"/>
    <x v="1"/>
  </r>
  <r>
    <s v=""/>
    <x v="128"/>
    <x v="0"/>
    <x v="0"/>
    <x v="79"/>
    <s v="CS"/>
    <s v="PI-2018020"/>
    <n v="1"/>
    <n v="0"/>
    <n v="0"/>
    <x v="2"/>
    <x v="5"/>
    <x v="12"/>
    <x v="1"/>
    <x v="0"/>
  </r>
  <r>
    <s v=""/>
    <x v="128"/>
    <x v="1"/>
    <x v="7"/>
    <x v="79"/>
    <s v="CS"/>
    <s v="PI-2018004"/>
    <n v="0"/>
    <n v="0"/>
    <n v="1"/>
    <x v="2"/>
    <x v="5"/>
    <x v="6"/>
    <x v="1"/>
    <x v="2"/>
  </r>
  <r>
    <s v=""/>
    <x v="128"/>
    <x v="1"/>
    <x v="7"/>
    <x v="79"/>
    <s v="CS"/>
    <s v="PI-2018006"/>
    <n v="0"/>
    <n v="0"/>
    <n v="75"/>
    <x v="150"/>
    <x v="5"/>
    <x v="35"/>
    <x v="1"/>
    <x v="2"/>
  </r>
  <r>
    <s v=""/>
    <x v="128"/>
    <x v="1"/>
    <x v="1"/>
    <x v="79"/>
    <s v="CS"/>
    <s v="PI-2018006"/>
    <n v="0"/>
    <n v="0"/>
    <n v="1"/>
    <x v="2"/>
    <x v="5"/>
    <x v="35"/>
    <x v="1"/>
    <x v="1"/>
  </r>
  <r>
    <s v=""/>
    <x v="129"/>
    <x v="1"/>
    <x v="4"/>
    <x v="79"/>
    <s v="CS"/>
    <s v="PI-2018020"/>
    <n v="6"/>
    <n v="0"/>
    <n v="0"/>
    <x v="99"/>
    <x v="15"/>
    <x v="12"/>
    <x v="1"/>
    <x v="0"/>
  </r>
  <r>
    <s v=""/>
    <x v="129"/>
    <x v="1"/>
    <x v="1"/>
    <x v="79"/>
    <s v="CS"/>
    <s v="PI-2018004"/>
    <n v="0"/>
    <n v="0"/>
    <n v="1"/>
    <x v="2"/>
    <x v="15"/>
    <x v="6"/>
    <x v="1"/>
    <x v="1"/>
  </r>
  <r>
    <s v=""/>
    <x v="130"/>
    <x v="0"/>
    <x v="0"/>
    <x v="82"/>
    <s v="CS"/>
    <s v="PI-2018020"/>
    <n v="2"/>
    <n v="0"/>
    <n v="0"/>
    <x v="5"/>
    <x v="15"/>
    <x v="12"/>
    <x v="1"/>
    <x v="0"/>
  </r>
  <r>
    <s v=""/>
    <x v="131"/>
    <x v="0"/>
    <x v="0"/>
    <x v="83"/>
    <s v="CS"/>
    <s v="PI-2018021"/>
    <n v="1"/>
    <n v="0"/>
    <n v="0"/>
    <x v="2"/>
    <x v="19"/>
    <x v="3"/>
    <x v="1"/>
    <x v="0"/>
  </r>
  <r>
    <s v=""/>
    <x v="131"/>
    <x v="1"/>
    <x v="5"/>
    <x v="83"/>
    <s v="CS"/>
    <s v="PI-2018023"/>
    <n v="138"/>
    <n v="0"/>
    <n v="0"/>
    <x v="151"/>
    <x v="19"/>
    <x v="7"/>
    <x v="1"/>
    <x v="1"/>
  </r>
  <r>
    <s v=""/>
    <x v="132"/>
    <x v="1"/>
    <x v="4"/>
    <x v="84"/>
    <s v="CS"/>
    <s v="PI-2018023"/>
    <n v="71"/>
    <n v="0"/>
    <n v="0"/>
    <x v="128"/>
    <x v="15"/>
    <x v="7"/>
    <x v="1"/>
    <x v="0"/>
  </r>
  <r>
    <s v=""/>
    <x v="132"/>
    <x v="1"/>
    <x v="3"/>
    <x v="84"/>
    <s v="CS"/>
    <s v="PI-2018017"/>
    <n v="4"/>
    <n v="0"/>
    <n v="0"/>
    <x v="69"/>
    <x v="15"/>
    <x v="8"/>
    <x v="1"/>
    <x v="0"/>
  </r>
  <r>
    <s v=""/>
    <x v="133"/>
    <x v="0"/>
    <x v="0"/>
    <x v="85"/>
    <s v="CS"/>
    <s v="PI-2018020"/>
    <n v="9"/>
    <n v="0"/>
    <n v="0"/>
    <x v="101"/>
    <x v="15"/>
    <x v="12"/>
    <x v="1"/>
    <x v="0"/>
  </r>
  <r>
    <s v=""/>
    <x v="133"/>
    <x v="1"/>
    <x v="1"/>
    <x v="85"/>
    <s v="CS"/>
    <s v="PI-2017050"/>
    <n v="0"/>
    <n v="0"/>
    <n v="3"/>
    <x v="4"/>
    <x v="15"/>
    <x v="21"/>
    <x v="0"/>
    <x v="1"/>
  </r>
  <r>
    <s v=""/>
    <x v="133"/>
    <x v="1"/>
    <x v="3"/>
    <x v="85"/>
    <s v="CS"/>
    <s v="PI-2018014"/>
    <n v="2"/>
    <n v="0"/>
    <n v="0"/>
    <x v="5"/>
    <x v="15"/>
    <x v="16"/>
    <x v="1"/>
    <x v="0"/>
  </r>
  <r>
    <s v=""/>
    <x v="134"/>
    <x v="0"/>
    <x v="0"/>
    <x v="86"/>
    <s v="CS"/>
    <s v="PI-2018022"/>
    <n v="47"/>
    <n v="0"/>
    <n v="0"/>
    <x v="17"/>
    <x v="15"/>
    <x v="10"/>
    <x v="1"/>
    <x v="0"/>
  </r>
  <r>
    <s v=""/>
    <x v="135"/>
    <x v="1"/>
    <x v="4"/>
    <x v="87"/>
    <s v="CS"/>
    <s v="PI-2018013"/>
    <n v="65"/>
    <n v="0"/>
    <n v="0"/>
    <x v="35"/>
    <x v="22"/>
    <x v="11"/>
    <x v="1"/>
    <x v="0"/>
  </r>
  <r>
    <s v=""/>
    <x v="135"/>
    <x v="1"/>
    <x v="4"/>
    <x v="87"/>
    <s v="CS"/>
    <s v="PI-2018019"/>
    <n v="42"/>
    <n v="0"/>
    <n v="0"/>
    <x v="152"/>
    <x v="22"/>
    <x v="4"/>
    <x v="1"/>
    <x v="0"/>
  </r>
  <r>
    <s v=""/>
    <x v="136"/>
    <x v="0"/>
    <x v="0"/>
    <x v="88"/>
    <s v="CS"/>
    <s v="PI-2018013"/>
    <n v="4"/>
    <n v="0"/>
    <n v="0"/>
    <x v="69"/>
    <x v="22"/>
    <x v="11"/>
    <x v="1"/>
    <x v="0"/>
  </r>
  <r>
    <s v=""/>
    <x v="136"/>
    <x v="1"/>
    <x v="4"/>
    <x v="88"/>
    <s v="CS"/>
    <s v="PI-2018013"/>
    <n v="90"/>
    <n v="0"/>
    <n v="0"/>
    <x v="39"/>
    <x v="22"/>
    <x v="11"/>
    <x v="1"/>
    <x v="0"/>
  </r>
  <r>
    <s v=""/>
    <x v="136"/>
    <x v="1"/>
    <x v="4"/>
    <x v="88"/>
    <s v="CS"/>
    <s v="PI-2018019"/>
    <n v="5"/>
    <n v="0"/>
    <n v="0"/>
    <x v="42"/>
    <x v="22"/>
    <x v="4"/>
    <x v="1"/>
    <x v="0"/>
  </r>
  <r>
    <s v=""/>
    <x v="136"/>
    <x v="1"/>
    <x v="4"/>
    <x v="88"/>
    <s v="CS"/>
    <s v="PI-2018023"/>
    <n v="104"/>
    <n v="0"/>
    <n v="0"/>
    <x v="85"/>
    <x v="22"/>
    <x v="7"/>
    <x v="1"/>
    <x v="0"/>
  </r>
  <r>
    <s v=""/>
    <x v="136"/>
    <x v="1"/>
    <x v="3"/>
    <x v="88"/>
    <s v="CS"/>
    <s v="PI-2018010"/>
    <n v="5"/>
    <n v="0"/>
    <n v="0"/>
    <x v="42"/>
    <x v="22"/>
    <x v="19"/>
    <x v="1"/>
    <x v="0"/>
  </r>
  <r>
    <s v=""/>
    <x v="137"/>
    <x v="0"/>
    <x v="0"/>
    <x v="89"/>
    <s v="CS"/>
    <s v="PI-2018018"/>
    <n v="18"/>
    <n v="0"/>
    <n v="0"/>
    <x v="147"/>
    <x v="7"/>
    <x v="1"/>
    <x v="1"/>
    <x v="0"/>
  </r>
  <r>
    <s v=""/>
    <x v="137"/>
    <x v="1"/>
    <x v="1"/>
    <x v="89"/>
    <s v="CS"/>
    <s v="PI-2018015"/>
    <n v="0"/>
    <n v="0"/>
    <n v="1"/>
    <x v="2"/>
    <x v="7"/>
    <x v="5"/>
    <x v="1"/>
    <x v="1"/>
  </r>
  <r>
    <s v=""/>
    <x v="138"/>
    <x v="1"/>
    <x v="4"/>
    <x v="90"/>
    <s v="CS"/>
    <s v="PI-2017040"/>
    <n v="27"/>
    <n v="0"/>
    <n v="0"/>
    <x v="88"/>
    <x v="22"/>
    <x v="14"/>
    <x v="0"/>
    <x v="0"/>
  </r>
  <r>
    <s v=""/>
    <x v="138"/>
    <x v="1"/>
    <x v="4"/>
    <x v="90"/>
    <s v="CS"/>
    <s v="PI-2018006"/>
    <n v="32"/>
    <n v="0"/>
    <n v="0"/>
    <x v="153"/>
    <x v="22"/>
    <x v="35"/>
    <x v="1"/>
    <x v="0"/>
  </r>
  <r>
    <s v=""/>
    <x v="138"/>
    <x v="1"/>
    <x v="4"/>
    <x v="90"/>
    <s v="CS"/>
    <s v="PI-2018010"/>
    <n v="30"/>
    <n v="0"/>
    <n v="0"/>
    <x v="3"/>
    <x v="22"/>
    <x v="19"/>
    <x v="1"/>
    <x v="0"/>
  </r>
  <r>
    <s v=""/>
    <x v="138"/>
    <x v="1"/>
    <x v="4"/>
    <x v="90"/>
    <s v="CS"/>
    <s v="PI-2018013"/>
    <n v="151"/>
    <n v="0"/>
    <n v="0"/>
    <x v="154"/>
    <x v="22"/>
    <x v="11"/>
    <x v="1"/>
    <x v="0"/>
  </r>
  <r>
    <s v=""/>
    <x v="138"/>
    <x v="1"/>
    <x v="4"/>
    <x v="90"/>
    <s v="CS"/>
    <s v="PI-2018017"/>
    <n v="100"/>
    <n v="0"/>
    <n v="0"/>
    <x v="143"/>
    <x v="22"/>
    <x v="8"/>
    <x v="1"/>
    <x v="0"/>
  </r>
  <r>
    <s v=""/>
    <x v="138"/>
    <x v="1"/>
    <x v="4"/>
    <x v="90"/>
    <s v="CS"/>
    <s v="PI-2018023"/>
    <n v="38"/>
    <n v="0"/>
    <n v="0"/>
    <x v="155"/>
    <x v="22"/>
    <x v="7"/>
    <x v="1"/>
    <x v="0"/>
  </r>
  <r>
    <s v=""/>
    <x v="138"/>
    <x v="1"/>
    <x v="5"/>
    <x v="90"/>
    <s v="CS"/>
    <s v="PI-2018013"/>
    <n v="5"/>
    <n v="0"/>
    <n v="0"/>
    <x v="42"/>
    <x v="22"/>
    <x v="11"/>
    <x v="1"/>
    <x v="1"/>
  </r>
  <r>
    <s v=""/>
    <x v="138"/>
    <x v="1"/>
    <x v="3"/>
    <x v="90"/>
    <s v="CS"/>
    <s v="PI-2018006"/>
    <n v="27"/>
    <n v="0"/>
    <n v="0"/>
    <x v="88"/>
    <x v="22"/>
    <x v="35"/>
    <x v="1"/>
    <x v="0"/>
  </r>
  <r>
    <s v=""/>
    <x v="138"/>
    <x v="1"/>
    <x v="3"/>
    <x v="90"/>
    <s v="CS"/>
    <s v="PI-2018010"/>
    <n v="6"/>
    <n v="0"/>
    <n v="0"/>
    <x v="99"/>
    <x v="22"/>
    <x v="19"/>
    <x v="1"/>
    <x v="0"/>
  </r>
  <r>
    <s v=""/>
    <x v="139"/>
    <x v="1"/>
    <x v="3"/>
    <x v="91"/>
    <s v="CS"/>
    <s v="PI-2018018"/>
    <n v="4"/>
    <n v="0"/>
    <n v="0"/>
    <x v="69"/>
    <x v="7"/>
    <x v="1"/>
    <x v="1"/>
    <x v="0"/>
  </r>
  <r>
    <s v=""/>
    <x v="140"/>
    <x v="1"/>
    <x v="4"/>
    <x v="92"/>
    <s v="CS"/>
    <s v="PI-2018016"/>
    <n v="60"/>
    <n v="0"/>
    <n v="0"/>
    <x v="6"/>
    <x v="22"/>
    <x v="15"/>
    <x v="1"/>
    <x v="0"/>
  </r>
  <r>
    <s v=""/>
    <x v="140"/>
    <x v="1"/>
    <x v="4"/>
    <x v="92"/>
    <s v="CS"/>
    <s v="PI-2018022"/>
    <n v="330"/>
    <n v="0"/>
    <n v="0"/>
    <x v="156"/>
    <x v="22"/>
    <x v="10"/>
    <x v="1"/>
    <x v="0"/>
  </r>
  <r>
    <s v=""/>
    <x v="140"/>
    <x v="1"/>
    <x v="4"/>
    <x v="92"/>
    <s v="CS"/>
    <s v="PI-2018023"/>
    <n v="245"/>
    <n v="0"/>
    <n v="0"/>
    <x v="157"/>
    <x v="22"/>
    <x v="7"/>
    <x v="1"/>
    <x v="0"/>
  </r>
  <r>
    <s v=""/>
    <x v="140"/>
    <x v="1"/>
    <x v="1"/>
    <x v="92"/>
    <s v="CS"/>
    <s v="PI-2017038"/>
    <n v="0"/>
    <n v="0"/>
    <n v="5"/>
    <x v="42"/>
    <x v="22"/>
    <x v="29"/>
    <x v="0"/>
    <x v="1"/>
  </r>
  <r>
    <s v=""/>
    <x v="140"/>
    <x v="1"/>
    <x v="1"/>
    <x v="92"/>
    <s v="CS"/>
    <s v="PI-2017051"/>
    <n v="0"/>
    <n v="0"/>
    <n v="1"/>
    <x v="2"/>
    <x v="22"/>
    <x v="34"/>
    <x v="0"/>
    <x v="1"/>
  </r>
  <r>
    <s v=""/>
    <x v="140"/>
    <x v="1"/>
    <x v="1"/>
    <x v="92"/>
    <s v="CS"/>
    <s v="PI-2018005"/>
    <n v="0"/>
    <n v="0"/>
    <n v="1"/>
    <x v="2"/>
    <x v="22"/>
    <x v="26"/>
    <x v="1"/>
    <x v="1"/>
  </r>
  <r>
    <s v=""/>
    <x v="140"/>
    <x v="1"/>
    <x v="3"/>
    <x v="92"/>
    <s v="CS"/>
    <s v="PI-2018010"/>
    <n v="12"/>
    <n v="0"/>
    <n v="0"/>
    <x v="40"/>
    <x v="22"/>
    <x v="19"/>
    <x v="1"/>
    <x v="0"/>
  </r>
  <r>
    <s v=""/>
    <x v="140"/>
    <x v="1"/>
    <x v="3"/>
    <x v="92"/>
    <s v="CS"/>
    <s v="PI-2018022"/>
    <n v="30"/>
    <n v="0"/>
    <n v="0"/>
    <x v="3"/>
    <x v="22"/>
    <x v="10"/>
    <x v="1"/>
    <x v="0"/>
  </r>
  <r>
    <s v=""/>
    <x v="141"/>
    <x v="0"/>
    <x v="0"/>
    <x v="93"/>
    <s v="CS"/>
    <s v="PI-2018013"/>
    <n v="1"/>
    <n v="0"/>
    <n v="0"/>
    <x v="2"/>
    <x v="10"/>
    <x v="11"/>
    <x v="1"/>
    <x v="0"/>
  </r>
  <r>
    <s v=""/>
    <x v="141"/>
    <x v="0"/>
    <x v="0"/>
    <x v="93"/>
    <s v="CS"/>
    <s v="PI-2018021"/>
    <n v="79"/>
    <n v="0"/>
    <n v="0"/>
    <x v="158"/>
    <x v="10"/>
    <x v="3"/>
    <x v="1"/>
    <x v="0"/>
  </r>
  <r>
    <s v=""/>
    <x v="142"/>
    <x v="0"/>
    <x v="0"/>
    <x v="94"/>
    <s v="CS"/>
    <s v="PI-2018021"/>
    <n v="3"/>
    <n v="0"/>
    <n v="0"/>
    <x v="4"/>
    <x v="10"/>
    <x v="3"/>
    <x v="1"/>
    <x v="0"/>
  </r>
  <r>
    <s v=""/>
    <x v="142"/>
    <x v="1"/>
    <x v="1"/>
    <x v="94"/>
    <s v="CS"/>
    <s v="PI-2018013"/>
    <n v="0"/>
    <n v="0"/>
    <n v="1"/>
    <x v="2"/>
    <x v="10"/>
    <x v="11"/>
    <x v="1"/>
    <x v="1"/>
  </r>
  <r>
    <s v=""/>
    <x v="143"/>
    <x v="0"/>
    <x v="0"/>
    <x v="42"/>
    <s v="CS"/>
    <s v="PI-2018022"/>
    <n v="2"/>
    <n v="0"/>
    <n v="0"/>
    <x v="5"/>
    <x v="23"/>
    <x v="10"/>
    <x v="1"/>
    <x v="0"/>
  </r>
  <r>
    <s v=""/>
    <x v="144"/>
    <x v="0"/>
    <x v="0"/>
    <x v="24"/>
    <s v="CS"/>
    <s v="PI-2018021"/>
    <n v="102"/>
    <n v="0"/>
    <n v="0"/>
    <x v="159"/>
    <x v="23"/>
    <x v="3"/>
    <x v="1"/>
    <x v="0"/>
  </r>
  <r>
    <s v=""/>
    <x v="144"/>
    <x v="0"/>
    <x v="0"/>
    <x v="24"/>
    <s v="CS"/>
    <s v="PI-2018022"/>
    <n v="87"/>
    <n v="0"/>
    <n v="0"/>
    <x v="160"/>
    <x v="23"/>
    <x v="10"/>
    <x v="1"/>
    <x v="0"/>
  </r>
  <r>
    <s v=""/>
    <x v="144"/>
    <x v="1"/>
    <x v="4"/>
    <x v="24"/>
    <s v="CS"/>
    <s v="PI-2018022"/>
    <n v="9"/>
    <n v="0"/>
    <n v="0"/>
    <x v="101"/>
    <x v="23"/>
    <x v="10"/>
    <x v="1"/>
    <x v="0"/>
  </r>
  <r>
    <s v=""/>
    <x v="144"/>
    <x v="1"/>
    <x v="3"/>
    <x v="24"/>
    <s v="CS"/>
    <s v="PI-2018022"/>
    <n v="6"/>
    <n v="0"/>
    <n v="0"/>
    <x v="99"/>
    <x v="23"/>
    <x v="10"/>
    <x v="1"/>
    <x v="0"/>
  </r>
  <r>
    <s v=""/>
    <x v="145"/>
    <x v="0"/>
    <x v="0"/>
    <x v="25"/>
    <s v="CS"/>
    <s v="PI-2018010"/>
    <n v="1"/>
    <n v="0"/>
    <n v="0"/>
    <x v="2"/>
    <x v="23"/>
    <x v="19"/>
    <x v="1"/>
    <x v="0"/>
  </r>
  <r>
    <s v=""/>
    <x v="145"/>
    <x v="0"/>
    <x v="0"/>
    <x v="25"/>
    <s v="CS"/>
    <s v="PI-2018018"/>
    <n v="1"/>
    <n v="0"/>
    <n v="0"/>
    <x v="2"/>
    <x v="23"/>
    <x v="1"/>
    <x v="1"/>
    <x v="0"/>
  </r>
  <r>
    <s v=""/>
    <x v="146"/>
    <x v="0"/>
    <x v="0"/>
    <x v="42"/>
    <s v="CS"/>
    <s v="PI-2018017"/>
    <n v="0"/>
    <n v="1"/>
    <n v="0"/>
    <x v="2"/>
    <x v="23"/>
    <x v="8"/>
    <x v="1"/>
    <x v="0"/>
  </r>
  <r>
    <s v=""/>
    <x v="146"/>
    <x v="0"/>
    <x v="0"/>
    <x v="42"/>
    <s v="CS"/>
    <s v="PI-2018020"/>
    <n v="2"/>
    <n v="0"/>
    <n v="0"/>
    <x v="5"/>
    <x v="23"/>
    <x v="12"/>
    <x v="1"/>
    <x v="0"/>
  </r>
  <r>
    <s v=""/>
    <x v="146"/>
    <x v="0"/>
    <x v="0"/>
    <x v="42"/>
    <s v="CS"/>
    <s v="PI-2018023"/>
    <n v="187"/>
    <n v="0"/>
    <n v="0"/>
    <x v="161"/>
    <x v="23"/>
    <x v="7"/>
    <x v="1"/>
    <x v="0"/>
  </r>
  <r>
    <s v=""/>
    <x v="146"/>
    <x v="1"/>
    <x v="4"/>
    <x v="42"/>
    <s v="CS"/>
    <s v="PI-2018023"/>
    <n v="16"/>
    <n v="0"/>
    <n v="0"/>
    <x v="21"/>
    <x v="23"/>
    <x v="7"/>
    <x v="1"/>
    <x v="0"/>
  </r>
  <r>
    <s v=""/>
    <x v="146"/>
    <x v="1"/>
    <x v="1"/>
    <x v="42"/>
    <s v="CS"/>
    <s v="PI-2018011"/>
    <n v="0"/>
    <n v="0"/>
    <n v="1"/>
    <x v="2"/>
    <x v="23"/>
    <x v="9"/>
    <x v="1"/>
    <x v="1"/>
  </r>
  <r>
    <s v=""/>
    <x v="146"/>
    <x v="1"/>
    <x v="2"/>
    <x v="42"/>
    <s v="CS"/>
    <s v="PI-2018017"/>
    <n v="12"/>
    <n v="94.92"/>
    <n v="0"/>
    <x v="162"/>
    <x v="23"/>
    <x v="8"/>
    <x v="1"/>
    <x v="1"/>
  </r>
  <r>
    <s v=""/>
    <x v="147"/>
    <x v="1"/>
    <x v="3"/>
    <x v="78"/>
    <s v="CS"/>
    <s v="PI-2018014"/>
    <n v="4"/>
    <n v="0"/>
    <n v="0"/>
    <x v="69"/>
    <x v="23"/>
    <x v="16"/>
    <x v="1"/>
    <x v="0"/>
  </r>
  <r>
    <s v=""/>
    <x v="148"/>
    <x v="0"/>
    <x v="0"/>
    <x v="95"/>
    <s v="CS"/>
    <s v="PI-2018017"/>
    <n v="24"/>
    <n v="0"/>
    <n v="0"/>
    <x v="148"/>
    <x v="23"/>
    <x v="8"/>
    <x v="1"/>
    <x v="0"/>
  </r>
  <r>
    <s v=""/>
    <x v="148"/>
    <x v="1"/>
    <x v="4"/>
    <x v="95"/>
    <s v="CS"/>
    <s v="PI-2018017"/>
    <n v="30"/>
    <n v="0"/>
    <n v="0"/>
    <x v="3"/>
    <x v="23"/>
    <x v="8"/>
    <x v="1"/>
    <x v="0"/>
  </r>
  <r>
    <s v=""/>
    <x v="148"/>
    <x v="1"/>
    <x v="4"/>
    <x v="95"/>
    <s v="CS"/>
    <s v="PI-2018022"/>
    <n v="90"/>
    <n v="0"/>
    <n v="0"/>
    <x v="39"/>
    <x v="23"/>
    <x v="10"/>
    <x v="1"/>
    <x v="0"/>
  </r>
  <r>
    <s v=""/>
    <x v="148"/>
    <x v="1"/>
    <x v="3"/>
    <x v="95"/>
    <s v="CS"/>
    <s v="PI-2018022"/>
    <n v="10"/>
    <n v="0"/>
    <n v="0"/>
    <x v="105"/>
    <x v="23"/>
    <x v="10"/>
    <x v="1"/>
    <x v="0"/>
  </r>
  <r>
    <s v=""/>
    <x v="149"/>
    <x v="1"/>
    <x v="1"/>
    <x v="24"/>
    <s v="CS"/>
    <s v="PI-2018010"/>
    <n v="0"/>
    <n v="0"/>
    <n v="1"/>
    <x v="2"/>
    <x v="23"/>
    <x v="19"/>
    <x v="1"/>
    <x v="1"/>
  </r>
  <r>
    <s v=""/>
    <x v="150"/>
    <x v="0"/>
    <x v="0"/>
    <x v="25"/>
    <s v="CS"/>
    <s v="PI-2018018"/>
    <n v="4"/>
    <n v="0"/>
    <n v="0"/>
    <x v="69"/>
    <x v="23"/>
    <x v="1"/>
    <x v="1"/>
    <x v="0"/>
  </r>
  <r>
    <s v=""/>
    <x v="150"/>
    <x v="1"/>
    <x v="4"/>
    <x v="25"/>
    <s v="CS"/>
    <s v="PI-2018014"/>
    <n v="4"/>
    <n v="0"/>
    <n v="0"/>
    <x v="69"/>
    <x v="23"/>
    <x v="16"/>
    <x v="1"/>
    <x v="0"/>
  </r>
  <r>
    <s v=""/>
    <x v="150"/>
    <x v="1"/>
    <x v="1"/>
    <x v="25"/>
    <s v="CS"/>
    <s v="PI-2018012"/>
    <n v="0"/>
    <n v="0"/>
    <n v="1"/>
    <x v="2"/>
    <x v="23"/>
    <x v="20"/>
    <x v="1"/>
    <x v="1"/>
  </r>
  <r>
    <s v=""/>
    <x v="150"/>
    <x v="1"/>
    <x v="3"/>
    <x v="25"/>
    <s v="CS"/>
    <s v="PI-2018012"/>
    <n v="8"/>
    <n v="0"/>
    <n v="0"/>
    <x v="12"/>
    <x v="23"/>
    <x v="20"/>
    <x v="1"/>
    <x v="0"/>
  </r>
  <r>
    <s v=""/>
    <x v="150"/>
    <x v="1"/>
    <x v="3"/>
    <x v="25"/>
    <s v="CS"/>
    <s v="PI-2018014"/>
    <n v="11"/>
    <n v="0"/>
    <n v="0"/>
    <x v="29"/>
    <x v="23"/>
    <x v="16"/>
    <x v="1"/>
    <x v="0"/>
  </r>
  <r>
    <s v=""/>
    <x v="151"/>
    <x v="0"/>
    <x v="0"/>
    <x v="42"/>
    <s v="CS"/>
    <s v="PI-2018017"/>
    <n v="1"/>
    <n v="0"/>
    <n v="0"/>
    <x v="2"/>
    <x v="23"/>
    <x v="8"/>
    <x v="1"/>
    <x v="0"/>
  </r>
  <r>
    <s v=""/>
    <x v="151"/>
    <x v="0"/>
    <x v="0"/>
    <x v="42"/>
    <s v="CS"/>
    <s v="PI-2018020"/>
    <n v="615"/>
    <n v="0"/>
    <n v="0"/>
    <x v="163"/>
    <x v="23"/>
    <x v="12"/>
    <x v="1"/>
    <x v="0"/>
  </r>
  <r>
    <s v=""/>
    <x v="152"/>
    <x v="0"/>
    <x v="0"/>
    <x v="95"/>
    <s v="CS"/>
    <s v="PI-2018022"/>
    <n v="90"/>
    <n v="0"/>
    <n v="0"/>
    <x v="39"/>
    <x v="23"/>
    <x v="10"/>
    <x v="1"/>
    <x v="0"/>
  </r>
  <r>
    <s v=""/>
    <x v="152"/>
    <x v="1"/>
    <x v="4"/>
    <x v="95"/>
    <s v="CS"/>
    <s v="PI-2018022"/>
    <n v="10"/>
    <n v="0"/>
    <n v="0"/>
    <x v="105"/>
    <x v="23"/>
    <x v="10"/>
    <x v="1"/>
    <x v="0"/>
  </r>
  <r>
    <s v=""/>
    <x v="152"/>
    <x v="1"/>
    <x v="1"/>
    <x v="95"/>
    <s v="CS"/>
    <s v="PI-2018011"/>
    <n v="2"/>
    <n v="0"/>
    <n v="0"/>
    <x v="5"/>
    <x v="23"/>
    <x v="9"/>
    <x v="1"/>
    <x v="1"/>
  </r>
  <r>
    <s v=""/>
    <x v="153"/>
    <x v="0"/>
    <x v="0"/>
    <x v="24"/>
    <s v="CS"/>
    <s v="PI-2018016"/>
    <n v="115"/>
    <n v="0"/>
    <n v="0"/>
    <x v="164"/>
    <x v="23"/>
    <x v="15"/>
    <x v="1"/>
    <x v="0"/>
  </r>
  <r>
    <s v=""/>
    <x v="154"/>
    <x v="1"/>
    <x v="1"/>
    <x v="25"/>
    <s v="CS"/>
    <s v="PI-2018012"/>
    <n v="0"/>
    <n v="0"/>
    <n v="3"/>
    <x v="4"/>
    <x v="23"/>
    <x v="20"/>
    <x v="1"/>
    <x v="1"/>
  </r>
  <r>
    <s v=""/>
    <x v="154"/>
    <x v="1"/>
    <x v="2"/>
    <x v="25"/>
    <s v="CS"/>
    <s v="PI-2018019"/>
    <n v="0"/>
    <n v="20"/>
    <n v="0"/>
    <x v="22"/>
    <x v="23"/>
    <x v="4"/>
    <x v="1"/>
    <x v="1"/>
  </r>
  <r>
    <s v=""/>
    <x v="155"/>
    <x v="1"/>
    <x v="1"/>
    <x v="42"/>
    <s v="CS"/>
    <s v="PI-2018014"/>
    <n v="0"/>
    <n v="0"/>
    <n v="1"/>
    <x v="2"/>
    <x v="23"/>
    <x v="16"/>
    <x v="1"/>
    <x v="1"/>
  </r>
  <r>
    <s v=""/>
    <x v="155"/>
    <x v="1"/>
    <x v="3"/>
    <x v="42"/>
    <s v="CS"/>
    <s v="PI-2018017"/>
    <n v="15"/>
    <n v="0"/>
    <n v="0"/>
    <x v="44"/>
    <x v="23"/>
    <x v="8"/>
    <x v="1"/>
    <x v="0"/>
  </r>
  <r>
    <s v=""/>
    <x v="156"/>
    <x v="0"/>
    <x v="0"/>
    <x v="95"/>
    <s v="CS"/>
    <s v="PI-2018017"/>
    <n v="1"/>
    <n v="0"/>
    <n v="0"/>
    <x v="2"/>
    <x v="23"/>
    <x v="8"/>
    <x v="1"/>
    <x v="0"/>
  </r>
  <r>
    <s v=""/>
    <x v="157"/>
    <x v="1"/>
    <x v="4"/>
    <x v="24"/>
    <s v="CS"/>
    <s v="PI-2018016"/>
    <n v="2"/>
    <n v="0"/>
    <n v="0"/>
    <x v="5"/>
    <x v="23"/>
    <x v="15"/>
    <x v="1"/>
    <x v="0"/>
  </r>
  <r>
    <s v=""/>
    <x v="157"/>
    <x v="1"/>
    <x v="3"/>
    <x v="24"/>
    <s v="CS"/>
    <s v="PI-2018016"/>
    <n v="100"/>
    <n v="0"/>
    <n v="0"/>
    <x v="143"/>
    <x v="23"/>
    <x v="15"/>
    <x v="1"/>
    <x v="0"/>
  </r>
  <r>
    <s v=""/>
    <x v="158"/>
    <x v="0"/>
    <x v="0"/>
    <x v="25"/>
    <s v="CS"/>
    <s v="PI-2018011"/>
    <n v="2"/>
    <n v="0"/>
    <n v="0"/>
    <x v="5"/>
    <x v="23"/>
    <x v="9"/>
    <x v="1"/>
    <x v="0"/>
  </r>
  <r>
    <s v=""/>
    <x v="158"/>
    <x v="1"/>
    <x v="4"/>
    <x v="25"/>
    <s v="CS"/>
    <s v="PI-2018011"/>
    <n v="60"/>
    <n v="0"/>
    <n v="0"/>
    <x v="6"/>
    <x v="23"/>
    <x v="9"/>
    <x v="1"/>
    <x v="0"/>
  </r>
  <r>
    <s v=""/>
    <x v="158"/>
    <x v="1"/>
    <x v="4"/>
    <x v="25"/>
    <s v="CS"/>
    <s v="PI-2018018"/>
    <n v="51"/>
    <n v="0"/>
    <n v="0"/>
    <x v="34"/>
    <x v="23"/>
    <x v="1"/>
    <x v="1"/>
    <x v="0"/>
  </r>
  <r>
    <s v=""/>
    <x v="159"/>
    <x v="0"/>
    <x v="0"/>
    <x v="27"/>
    <s v="CS"/>
    <s v="PI-2018020"/>
    <n v="26"/>
    <n v="1"/>
    <n v="0"/>
    <x v="88"/>
    <x v="23"/>
    <x v="12"/>
    <x v="1"/>
    <x v="0"/>
  </r>
  <r>
    <s v=""/>
    <x v="159"/>
    <x v="1"/>
    <x v="1"/>
    <x v="27"/>
    <s v="CS"/>
    <s v="PI-2018020"/>
    <n v="1"/>
    <n v="0"/>
    <n v="0"/>
    <x v="2"/>
    <x v="23"/>
    <x v="12"/>
    <x v="1"/>
    <x v="1"/>
  </r>
  <r>
    <s v=""/>
    <x v="160"/>
    <x v="0"/>
    <x v="0"/>
    <x v="21"/>
    <s v="CS"/>
    <s v="PI-2018019"/>
    <n v="5"/>
    <n v="0"/>
    <n v="0"/>
    <x v="42"/>
    <x v="23"/>
    <x v="4"/>
    <x v="1"/>
    <x v="0"/>
  </r>
  <r>
    <s v=""/>
    <x v="160"/>
    <x v="1"/>
    <x v="1"/>
    <x v="21"/>
    <s v="CS"/>
    <s v="PI-2018011"/>
    <n v="0"/>
    <n v="0"/>
    <n v="1"/>
    <x v="2"/>
    <x v="23"/>
    <x v="9"/>
    <x v="1"/>
    <x v="1"/>
  </r>
  <r>
    <s v=""/>
    <x v="160"/>
    <x v="1"/>
    <x v="3"/>
    <x v="21"/>
    <s v="CS"/>
    <s v="PI-2018014"/>
    <n v="1"/>
    <n v="0"/>
    <n v="0"/>
    <x v="2"/>
    <x v="23"/>
    <x v="16"/>
    <x v="1"/>
    <x v="0"/>
  </r>
  <r>
    <s v=""/>
    <x v="161"/>
    <x v="1"/>
    <x v="4"/>
    <x v="27"/>
    <s v="CS"/>
    <s v="PI-2018018"/>
    <n v="374"/>
    <n v="0"/>
    <n v="0"/>
    <x v="165"/>
    <x v="23"/>
    <x v="1"/>
    <x v="1"/>
    <x v="0"/>
  </r>
  <r>
    <s v=""/>
    <x v="161"/>
    <x v="1"/>
    <x v="3"/>
    <x v="27"/>
    <s v="CS"/>
    <s v="PI-2018018"/>
    <n v="28"/>
    <n v="0"/>
    <n v="0"/>
    <x v="1"/>
    <x v="23"/>
    <x v="1"/>
    <x v="1"/>
    <x v="0"/>
  </r>
  <r>
    <s v=""/>
    <x v="162"/>
    <x v="0"/>
    <x v="0"/>
    <x v="27"/>
    <s v="CS"/>
    <s v="PI-2018021"/>
    <n v="3"/>
    <n v="0"/>
    <n v="0"/>
    <x v="4"/>
    <x v="23"/>
    <x v="3"/>
    <x v="1"/>
    <x v="0"/>
  </r>
  <r>
    <s v=""/>
    <x v="162"/>
    <x v="1"/>
    <x v="1"/>
    <x v="27"/>
    <s v="CS"/>
    <s v="PI-2018015"/>
    <n v="0"/>
    <n v="0"/>
    <n v="1"/>
    <x v="2"/>
    <x v="23"/>
    <x v="5"/>
    <x v="1"/>
    <x v="1"/>
  </r>
  <r>
    <s v=""/>
    <x v="162"/>
    <x v="1"/>
    <x v="3"/>
    <x v="27"/>
    <s v="CS"/>
    <s v="PI-2018018"/>
    <n v="2"/>
    <n v="0"/>
    <n v="0"/>
    <x v="5"/>
    <x v="23"/>
    <x v="1"/>
    <x v="1"/>
    <x v="0"/>
  </r>
  <r>
    <s v=""/>
    <x v="163"/>
    <x v="0"/>
    <x v="0"/>
    <x v="21"/>
    <s v="CS"/>
    <s v="PI-2018019"/>
    <n v="1"/>
    <n v="0"/>
    <n v="0"/>
    <x v="2"/>
    <x v="23"/>
    <x v="4"/>
    <x v="1"/>
    <x v="0"/>
  </r>
  <r>
    <s v=""/>
    <x v="163"/>
    <x v="0"/>
    <x v="0"/>
    <x v="21"/>
    <s v="CS"/>
    <s v="PI-2018021"/>
    <n v="190"/>
    <n v="0"/>
    <n v="0"/>
    <x v="166"/>
    <x v="23"/>
    <x v="3"/>
    <x v="1"/>
    <x v="0"/>
  </r>
  <r>
    <s v=""/>
    <x v="163"/>
    <x v="0"/>
    <x v="0"/>
    <x v="21"/>
    <s v="CS"/>
    <s v="PI-2018022"/>
    <n v="358"/>
    <n v="0"/>
    <n v="0"/>
    <x v="167"/>
    <x v="23"/>
    <x v="10"/>
    <x v="1"/>
    <x v="0"/>
  </r>
  <r>
    <s v=""/>
    <x v="163"/>
    <x v="1"/>
    <x v="4"/>
    <x v="21"/>
    <s v="CS"/>
    <s v="PI-2018021"/>
    <n v="1"/>
    <n v="0"/>
    <n v="0"/>
    <x v="2"/>
    <x v="23"/>
    <x v="3"/>
    <x v="1"/>
    <x v="0"/>
  </r>
  <r>
    <s v=""/>
    <x v="163"/>
    <x v="1"/>
    <x v="4"/>
    <x v="21"/>
    <s v="CS"/>
    <s v="PI-2018022"/>
    <n v="1"/>
    <n v="0"/>
    <n v="0"/>
    <x v="2"/>
    <x v="23"/>
    <x v="10"/>
    <x v="1"/>
    <x v="0"/>
  </r>
  <r>
    <s v=""/>
    <x v="163"/>
    <x v="1"/>
    <x v="3"/>
    <x v="21"/>
    <s v="CS"/>
    <s v="PI-2018022"/>
    <n v="149"/>
    <n v="0"/>
    <n v="0"/>
    <x v="168"/>
    <x v="23"/>
    <x v="10"/>
    <x v="1"/>
    <x v="0"/>
  </r>
  <r>
    <s v=""/>
    <x v="164"/>
    <x v="0"/>
    <x v="0"/>
    <x v="27"/>
    <s v="CS"/>
    <s v="PI-2018021"/>
    <n v="44"/>
    <n v="0"/>
    <n v="0"/>
    <x v="41"/>
    <x v="23"/>
    <x v="3"/>
    <x v="1"/>
    <x v="0"/>
  </r>
  <r>
    <s v=""/>
    <x v="164"/>
    <x v="0"/>
    <x v="0"/>
    <x v="27"/>
    <s v="CS"/>
    <s v="PI-2018022"/>
    <n v="140"/>
    <n v="0"/>
    <n v="0"/>
    <x v="169"/>
    <x v="23"/>
    <x v="10"/>
    <x v="1"/>
    <x v="0"/>
  </r>
  <r>
    <s v=""/>
    <x v="164"/>
    <x v="0"/>
    <x v="0"/>
    <x v="27"/>
    <s v="CS"/>
    <s v="PI-2018023"/>
    <n v="651"/>
    <n v="0"/>
    <n v="0"/>
    <x v="170"/>
    <x v="23"/>
    <x v="7"/>
    <x v="1"/>
    <x v="0"/>
  </r>
  <r>
    <s v=""/>
    <x v="164"/>
    <x v="1"/>
    <x v="4"/>
    <x v="27"/>
    <s v="CS"/>
    <s v="PI-2018020"/>
    <n v="2"/>
    <n v="0"/>
    <n v="0"/>
    <x v="5"/>
    <x v="23"/>
    <x v="12"/>
    <x v="1"/>
    <x v="0"/>
  </r>
  <r>
    <s v=""/>
    <x v="164"/>
    <x v="1"/>
    <x v="4"/>
    <x v="27"/>
    <s v="CS"/>
    <s v="PI-2018021"/>
    <n v="9"/>
    <n v="0"/>
    <n v="0"/>
    <x v="101"/>
    <x v="23"/>
    <x v="3"/>
    <x v="1"/>
    <x v="0"/>
  </r>
  <r>
    <s v=""/>
    <x v="164"/>
    <x v="1"/>
    <x v="4"/>
    <x v="27"/>
    <s v="CS"/>
    <s v="PI-2018022"/>
    <n v="1"/>
    <n v="0"/>
    <n v="0"/>
    <x v="2"/>
    <x v="23"/>
    <x v="10"/>
    <x v="1"/>
    <x v="0"/>
  </r>
  <r>
    <s v=""/>
    <x v="164"/>
    <x v="1"/>
    <x v="1"/>
    <x v="27"/>
    <s v="CS"/>
    <s v="PI-2018015"/>
    <n v="2"/>
    <n v="0"/>
    <n v="1"/>
    <x v="4"/>
    <x v="23"/>
    <x v="5"/>
    <x v="1"/>
    <x v="1"/>
  </r>
  <r>
    <s v=""/>
    <x v="165"/>
    <x v="0"/>
    <x v="0"/>
    <x v="21"/>
    <s v="CS"/>
    <s v="PI-2018019"/>
    <n v="1"/>
    <n v="0"/>
    <n v="0"/>
    <x v="2"/>
    <x v="23"/>
    <x v="4"/>
    <x v="1"/>
    <x v="0"/>
  </r>
  <r>
    <s v=""/>
    <x v="165"/>
    <x v="0"/>
    <x v="0"/>
    <x v="21"/>
    <s v="CS"/>
    <s v="PI-2018022"/>
    <n v="247"/>
    <n v="0"/>
    <n v="0"/>
    <x v="171"/>
    <x v="23"/>
    <x v="10"/>
    <x v="1"/>
    <x v="0"/>
  </r>
  <r>
    <s v=""/>
    <x v="165"/>
    <x v="0"/>
    <x v="0"/>
    <x v="21"/>
    <s v="CS"/>
    <s v="PI-2018023"/>
    <n v="15"/>
    <n v="0"/>
    <n v="0"/>
    <x v="44"/>
    <x v="23"/>
    <x v="7"/>
    <x v="1"/>
    <x v="0"/>
  </r>
  <r>
    <s v=""/>
    <x v="165"/>
    <x v="1"/>
    <x v="1"/>
    <x v="21"/>
    <s v="CS"/>
    <s v="PI-2018022"/>
    <n v="6"/>
    <n v="0"/>
    <n v="0"/>
    <x v="99"/>
    <x v="23"/>
    <x v="10"/>
    <x v="1"/>
    <x v="1"/>
  </r>
  <r>
    <s v=""/>
    <x v="165"/>
    <x v="1"/>
    <x v="5"/>
    <x v="21"/>
    <s v="CS"/>
    <s v="PI-2018022"/>
    <n v="1"/>
    <n v="0"/>
    <n v="0"/>
    <x v="2"/>
    <x v="23"/>
    <x v="10"/>
    <x v="1"/>
    <x v="1"/>
  </r>
  <r>
    <s v=""/>
    <x v="165"/>
    <x v="1"/>
    <x v="5"/>
    <x v="21"/>
    <s v="CS"/>
    <s v="PI-2018023"/>
    <n v="638"/>
    <n v="0"/>
    <n v="0"/>
    <x v="172"/>
    <x v="23"/>
    <x v="7"/>
    <x v="1"/>
    <x v="1"/>
  </r>
  <r>
    <s v=""/>
    <x v="165"/>
    <x v="1"/>
    <x v="2"/>
    <x v="21"/>
    <s v="CS"/>
    <s v="PI-2018023"/>
    <n v="30"/>
    <n v="0"/>
    <n v="0"/>
    <x v="3"/>
    <x v="23"/>
    <x v="7"/>
    <x v="1"/>
    <x v="1"/>
  </r>
  <r>
    <s v=""/>
    <x v="166"/>
    <x v="1"/>
    <x v="4"/>
    <x v="96"/>
    <s v="CS"/>
    <s v="PI-2018021"/>
    <n v="65"/>
    <n v="0"/>
    <n v="0"/>
    <x v="35"/>
    <x v="21"/>
    <x v="3"/>
    <x v="1"/>
    <x v="0"/>
  </r>
  <r>
    <s v=""/>
    <x v="166"/>
    <x v="1"/>
    <x v="2"/>
    <x v="96"/>
    <s v="CS"/>
    <s v="PI-2018020"/>
    <n v="0"/>
    <n v="4"/>
    <n v="0"/>
    <x v="69"/>
    <x v="21"/>
    <x v="12"/>
    <x v="1"/>
    <x v="1"/>
  </r>
  <r>
    <s v=""/>
    <x v="166"/>
    <x v="1"/>
    <x v="3"/>
    <x v="96"/>
    <s v="CS"/>
    <s v="PI-2018020"/>
    <n v="29"/>
    <n v="0"/>
    <n v="0"/>
    <x v="98"/>
    <x v="21"/>
    <x v="12"/>
    <x v="1"/>
    <x v="0"/>
  </r>
  <r>
    <s v=""/>
    <x v="166"/>
    <x v="1"/>
    <x v="3"/>
    <x v="96"/>
    <s v="CS"/>
    <s v="PI-2018021"/>
    <n v="3"/>
    <n v="0"/>
    <n v="0"/>
    <x v="4"/>
    <x v="21"/>
    <x v="3"/>
    <x v="1"/>
    <x v="0"/>
  </r>
  <r>
    <s v=""/>
    <x v="167"/>
    <x v="1"/>
    <x v="7"/>
    <x v="97"/>
    <s v="CS"/>
    <s v="PI-2017042"/>
    <n v="0"/>
    <n v="0"/>
    <n v="16"/>
    <x v="21"/>
    <x v="2"/>
    <x v="36"/>
    <x v="0"/>
    <x v="2"/>
  </r>
  <r>
    <s v=""/>
    <x v="168"/>
    <x v="1"/>
    <x v="5"/>
    <x v="97"/>
    <s v="CS"/>
    <s v="PI-2018023"/>
    <n v="279"/>
    <n v="0"/>
    <n v="0"/>
    <x v="173"/>
    <x v="2"/>
    <x v="7"/>
    <x v="1"/>
    <x v="1"/>
  </r>
  <r>
    <s v=""/>
    <x v="169"/>
    <x v="1"/>
    <x v="1"/>
    <x v="98"/>
    <s v="CS"/>
    <s v="PI-2018005"/>
    <n v="0"/>
    <n v="0"/>
    <n v="1"/>
    <x v="2"/>
    <x v="2"/>
    <x v="26"/>
    <x v="1"/>
    <x v="1"/>
  </r>
  <r>
    <s v=""/>
    <x v="170"/>
    <x v="0"/>
    <x v="0"/>
    <x v="98"/>
    <s v="CS"/>
    <s v="PI-2018019"/>
    <n v="1"/>
    <n v="0"/>
    <n v="0"/>
    <x v="2"/>
    <x v="2"/>
    <x v="4"/>
    <x v="1"/>
    <x v="0"/>
  </r>
  <r>
    <s v=""/>
    <x v="170"/>
    <x v="0"/>
    <x v="0"/>
    <x v="98"/>
    <s v="CS"/>
    <s v="PI-2018022"/>
    <n v="753"/>
    <n v="0"/>
    <n v="0"/>
    <x v="174"/>
    <x v="2"/>
    <x v="10"/>
    <x v="1"/>
    <x v="0"/>
  </r>
  <r>
    <s v=""/>
    <x v="170"/>
    <x v="1"/>
    <x v="7"/>
    <x v="98"/>
    <s v="CS"/>
    <s v="PI-2018012"/>
    <n v="0"/>
    <n v="0"/>
    <n v="3"/>
    <x v="4"/>
    <x v="2"/>
    <x v="20"/>
    <x v="1"/>
    <x v="2"/>
  </r>
  <r>
    <s v=""/>
    <x v="171"/>
    <x v="1"/>
    <x v="5"/>
    <x v="98"/>
    <s v="CS"/>
    <s v="PI-2018023"/>
    <n v="590"/>
    <n v="0"/>
    <n v="0"/>
    <x v="175"/>
    <x v="2"/>
    <x v="7"/>
    <x v="1"/>
    <x v="1"/>
  </r>
  <r>
    <s v=""/>
    <x v="172"/>
    <x v="0"/>
    <x v="0"/>
    <x v="99"/>
    <s v="CS"/>
    <s v="PI-2018022"/>
    <n v="387"/>
    <n v="0"/>
    <n v="0"/>
    <x v="176"/>
    <x v="2"/>
    <x v="10"/>
    <x v="1"/>
    <x v="0"/>
  </r>
  <r>
    <s v=""/>
    <x v="172"/>
    <x v="1"/>
    <x v="5"/>
    <x v="99"/>
    <s v="CS"/>
    <s v="PI-2018018"/>
    <n v="10"/>
    <n v="0"/>
    <n v="0"/>
    <x v="105"/>
    <x v="2"/>
    <x v="1"/>
    <x v="1"/>
    <x v="1"/>
  </r>
  <r>
    <s v=""/>
    <x v="172"/>
    <x v="1"/>
    <x v="2"/>
    <x v="99"/>
    <s v="CS"/>
    <s v="PI-2018018"/>
    <n v="0"/>
    <n v="10"/>
    <n v="0"/>
    <x v="105"/>
    <x v="2"/>
    <x v="1"/>
    <x v="1"/>
    <x v="1"/>
  </r>
  <r>
    <s v=""/>
    <x v="173"/>
    <x v="0"/>
    <x v="0"/>
    <x v="100"/>
    <s v="CS"/>
    <s v="PI-2018022"/>
    <n v="487"/>
    <n v="0"/>
    <n v="0"/>
    <x v="177"/>
    <x v="2"/>
    <x v="10"/>
    <x v="1"/>
    <x v="0"/>
  </r>
  <r>
    <s v=""/>
    <x v="173"/>
    <x v="1"/>
    <x v="1"/>
    <x v="100"/>
    <s v="CS"/>
    <s v="PI-2018003"/>
    <n v="0"/>
    <n v="0"/>
    <n v="2"/>
    <x v="5"/>
    <x v="2"/>
    <x v="22"/>
    <x v="1"/>
    <x v="1"/>
  </r>
  <r>
    <s v=""/>
    <x v="174"/>
    <x v="1"/>
    <x v="1"/>
    <x v="101"/>
    <s v="CS"/>
    <s v="PI-2018016"/>
    <n v="1"/>
    <n v="0"/>
    <n v="0"/>
    <x v="2"/>
    <x v="18"/>
    <x v="15"/>
    <x v="1"/>
    <x v="1"/>
  </r>
  <r>
    <s v=""/>
    <x v="175"/>
    <x v="1"/>
    <x v="1"/>
    <x v="102"/>
    <s v="CS"/>
    <s v="PI-2018009"/>
    <n v="0"/>
    <n v="0"/>
    <n v="1"/>
    <x v="2"/>
    <x v="18"/>
    <x v="25"/>
    <x v="1"/>
    <x v="1"/>
  </r>
  <r>
    <s v=""/>
    <x v="176"/>
    <x v="1"/>
    <x v="3"/>
    <x v="103"/>
    <s v="CS"/>
    <s v="PI-2018013"/>
    <n v="101"/>
    <n v="0"/>
    <n v="0"/>
    <x v="178"/>
    <x v="24"/>
    <x v="11"/>
    <x v="1"/>
    <x v="0"/>
  </r>
  <r>
    <s v=""/>
    <x v="177"/>
    <x v="0"/>
    <x v="0"/>
    <x v="103"/>
    <s v="CS"/>
    <s v="PI-2018017"/>
    <n v="23"/>
    <n v="0"/>
    <n v="0"/>
    <x v="179"/>
    <x v="24"/>
    <x v="8"/>
    <x v="1"/>
    <x v="0"/>
  </r>
  <r>
    <s v=""/>
    <x v="178"/>
    <x v="1"/>
    <x v="4"/>
    <x v="103"/>
    <s v="CS"/>
    <s v="PI-2018022"/>
    <n v="83"/>
    <n v="0"/>
    <n v="0"/>
    <x v="180"/>
    <x v="24"/>
    <x v="10"/>
    <x v="1"/>
    <x v="0"/>
  </r>
  <r>
    <s v=""/>
    <x v="178"/>
    <x v="1"/>
    <x v="3"/>
    <x v="103"/>
    <s v="CS"/>
    <s v="PI-2018022"/>
    <n v="1"/>
    <n v="0"/>
    <n v="0"/>
    <x v="2"/>
    <x v="24"/>
    <x v="10"/>
    <x v="1"/>
    <x v="0"/>
  </r>
  <r>
    <s v=""/>
    <x v="179"/>
    <x v="1"/>
    <x v="4"/>
    <x v="90"/>
    <s v="CS"/>
    <s v="PI-2018017"/>
    <n v="93"/>
    <n v="0"/>
    <n v="0"/>
    <x v="181"/>
    <x v="24"/>
    <x v="8"/>
    <x v="1"/>
    <x v="0"/>
  </r>
  <r>
    <s v=""/>
    <x v="180"/>
    <x v="1"/>
    <x v="4"/>
    <x v="90"/>
    <s v="CS"/>
    <s v="PI-2018017"/>
    <n v="91"/>
    <n v="0"/>
    <n v="0"/>
    <x v="116"/>
    <x v="24"/>
    <x v="8"/>
    <x v="1"/>
    <x v="0"/>
  </r>
  <r>
    <s v=""/>
    <x v="180"/>
    <x v="1"/>
    <x v="3"/>
    <x v="90"/>
    <s v="CS"/>
    <s v="PI-2018017"/>
    <n v="1"/>
    <n v="0"/>
    <n v="0"/>
    <x v="2"/>
    <x v="24"/>
    <x v="8"/>
    <x v="1"/>
    <x v="0"/>
  </r>
  <r>
    <s v=""/>
    <x v="181"/>
    <x v="1"/>
    <x v="1"/>
    <x v="104"/>
    <s v="CS"/>
    <s v="PI-2018002"/>
    <n v="0"/>
    <n v="0"/>
    <n v="1"/>
    <x v="2"/>
    <x v="0"/>
    <x v="24"/>
    <x v="1"/>
    <x v="1"/>
  </r>
  <r>
    <s v=""/>
    <x v="182"/>
    <x v="1"/>
    <x v="3"/>
    <x v="92"/>
    <s v="CS"/>
    <s v="PI-2018018"/>
    <n v="1"/>
    <n v="0"/>
    <n v="0"/>
    <x v="2"/>
    <x v="12"/>
    <x v="1"/>
    <x v="1"/>
    <x v="0"/>
  </r>
  <r>
    <s v=""/>
    <x v="183"/>
    <x v="1"/>
    <x v="4"/>
    <x v="104"/>
    <s v="CS"/>
    <s v="PI-2018021"/>
    <n v="10"/>
    <n v="0"/>
    <n v="0"/>
    <x v="105"/>
    <x v="12"/>
    <x v="3"/>
    <x v="1"/>
    <x v="0"/>
  </r>
  <r>
    <s v=""/>
    <x v="184"/>
    <x v="0"/>
    <x v="0"/>
    <x v="105"/>
    <s v="CS"/>
    <s v="PI-2018019"/>
    <n v="10"/>
    <n v="0"/>
    <n v="0"/>
    <x v="105"/>
    <x v="1"/>
    <x v="4"/>
    <x v="1"/>
    <x v="0"/>
  </r>
  <r>
    <s v=""/>
    <x v="185"/>
    <x v="0"/>
    <x v="0"/>
    <x v="106"/>
    <s v="CS"/>
    <s v="PI-2018023"/>
    <n v="385"/>
    <n v="0"/>
    <n v="0"/>
    <x v="182"/>
    <x v="3"/>
    <x v="7"/>
    <x v="1"/>
    <x v="0"/>
  </r>
  <r>
    <s v=""/>
    <x v="186"/>
    <x v="0"/>
    <x v="0"/>
    <x v="107"/>
    <s v="CS"/>
    <s v="PI-2018023"/>
    <n v="204"/>
    <n v="0"/>
    <n v="0"/>
    <x v="183"/>
    <x v="3"/>
    <x v="7"/>
    <x v="1"/>
    <x v="0"/>
  </r>
  <r>
    <s v=""/>
    <x v="187"/>
    <x v="1"/>
    <x v="4"/>
    <x v="108"/>
    <s v="CS"/>
    <s v="PI-2018021"/>
    <n v="120"/>
    <n v="0"/>
    <n v="0"/>
    <x v="184"/>
    <x v="3"/>
    <x v="3"/>
    <x v="1"/>
    <x v="0"/>
  </r>
  <r>
    <s v=""/>
    <x v="188"/>
    <x v="1"/>
    <x v="2"/>
    <x v="109"/>
    <s v="CS"/>
    <s v="PI-2017044"/>
    <n v="8"/>
    <n v="0"/>
    <n v="0"/>
    <x v="12"/>
    <x v="3"/>
    <x v="37"/>
    <x v="0"/>
    <x v="1"/>
  </r>
  <r>
    <s v=""/>
    <x v="189"/>
    <x v="0"/>
    <x v="0"/>
    <x v="109"/>
    <s v="CS"/>
    <s v="PI-2018021"/>
    <n v="11"/>
    <n v="0"/>
    <n v="0"/>
    <x v="29"/>
    <x v="3"/>
    <x v="3"/>
    <x v="1"/>
    <x v="0"/>
  </r>
  <r>
    <s v=""/>
    <x v="189"/>
    <x v="0"/>
    <x v="0"/>
    <x v="109"/>
    <s v="CS"/>
    <s v="PI-2018023"/>
    <n v="157"/>
    <n v="0"/>
    <n v="0"/>
    <x v="185"/>
    <x v="3"/>
    <x v="7"/>
    <x v="1"/>
    <x v="0"/>
  </r>
  <r>
    <s v=""/>
    <x v="189"/>
    <x v="1"/>
    <x v="2"/>
    <x v="109"/>
    <s v="CS"/>
    <s v="PI-2017048"/>
    <n v="1"/>
    <n v="0"/>
    <n v="0"/>
    <x v="2"/>
    <x v="3"/>
    <x v="18"/>
    <x v="0"/>
    <x v="1"/>
  </r>
  <r>
    <s v=""/>
    <x v="190"/>
    <x v="1"/>
    <x v="5"/>
    <x v="22"/>
    <s v="CS"/>
    <s v="PI-2018023"/>
    <n v="202"/>
    <n v="0"/>
    <n v="0"/>
    <x v="186"/>
    <x v="5"/>
    <x v="7"/>
    <x v="1"/>
    <x v="1"/>
  </r>
  <r>
    <s v=""/>
    <x v="190"/>
    <x v="1"/>
    <x v="2"/>
    <x v="22"/>
    <s v="CS"/>
    <s v="PI-2018010"/>
    <n v="0"/>
    <n v="4"/>
    <n v="0"/>
    <x v="69"/>
    <x v="5"/>
    <x v="19"/>
    <x v="1"/>
    <x v="1"/>
  </r>
  <r>
    <s v=""/>
    <x v="191"/>
    <x v="1"/>
    <x v="4"/>
    <x v="110"/>
    <s v="CS"/>
    <s v="PI-2018023"/>
    <n v="270"/>
    <n v="0"/>
    <n v="0"/>
    <x v="187"/>
    <x v="5"/>
    <x v="7"/>
    <x v="1"/>
    <x v="0"/>
  </r>
  <r>
    <s v=""/>
    <x v="191"/>
    <x v="1"/>
    <x v="1"/>
    <x v="110"/>
    <s v="CS"/>
    <s v="PI-2018019"/>
    <n v="0"/>
    <n v="0"/>
    <n v="1"/>
    <x v="2"/>
    <x v="5"/>
    <x v="4"/>
    <x v="1"/>
    <x v="1"/>
  </r>
  <r>
    <s v=""/>
    <x v="191"/>
    <x v="1"/>
    <x v="5"/>
    <x v="110"/>
    <s v="CS"/>
    <s v="PI-2018023"/>
    <n v="154"/>
    <n v="0"/>
    <n v="0"/>
    <x v="188"/>
    <x v="5"/>
    <x v="7"/>
    <x v="1"/>
    <x v="1"/>
  </r>
  <r>
    <s v=""/>
    <x v="191"/>
    <x v="1"/>
    <x v="2"/>
    <x v="110"/>
    <s v="CS"/>
    <s v="PI-2018023"/>
    <n v="29"/>
    <n v="0"/>
    <n v="0"/>
    <x v="98"/>
    <x v="5"/>
    <x v="7"/>
    <x v="1"/>
    <x v="1"/>
  </r>
  <r>
    <s v=""/>
    <x v="192"/>
    <x v="1"/>
    <x v="2"/>
    <x v="111"/>
    <s v="CS"/>
    <s v="PI-2018006"/>
    <n v="0"/>
    <n v="11"/>
    <n v="0"/>
    <x v="29"/>
    <x v="3"/>
    <x v="35"/>
    <x v="1"/>
    <x v="1"/>
  </r>
  <r>
    <s v=""/>
    <x v="193"/>
    <x v="0"/>
    <x v="0"/>
    <x v="112"/>
    <s v="CS"/>
    <s v="PI-2018020"/>
    <n v="55"/>
    <n v="0"/>
    <n v="0"/>
    <x v="189"/>
    <x v="6"/>
    <x v="12"/>
    <x v="1"/>
    <x v="0"/>
  </r>
  <r>
    <s v=""/>
    <x v="193"/>
    <x v="0"/>
    <x v="0"/>
    <x v="112"/>
    <s v="CS"/>
    <s v="PI-2018021"/>
    <n v="112"/>
    <n v="0"/>
    <n v="0"/>
    <x v="190"/>
    <x v="6"/>
    <x v="3"/>
    <x v="1"/>
    <x v="0"/>
  </r>
  <r>
    <s v=""/>
    <x v="193"/>
    <x v="0"/>
    <x v="0"/>
    <x v="112"/>
    <s v="CS"/>
    <s v="PI-2018022"/>
    <n v="303"/>
    <n v="0"/>
    <n v="0"/>
    <x v="113"/>
    <x v="6"/>
    <x v="10"/>
    <x v="1"/>
    <x v="0"/>
  </r>
  <r>
    <s v=""/>
    <x v="193"/>
    <x v="1"/>
    <x v="1"/>
    <x v="112"/>
    <s v="CS"/>
    <s v="PI-2018017"/>
    <n v="1"/>
    <n v="0"/>
    <n v="0"/>
    <x v="2"/>
    <x v="6"/>
    <x v="8"/>
    <x v="1"/>
    <x v="1"/>
  </r>
  <r>
    <s v=""/>
    <x v="193"/>
    <x v="1"/>
    <x v="3"/>
    <x v="112"/>
    <s v="CS"/>
    <s v="PI-2018021"/>
    <n v="5"/>
    <n v="0"/>
    <n v="0"/>
    <x v="42"/>
    <x v="6"/>
    <x v="3"/>
    <x v="1"/>
    <x v="0"/>
  </r>
  <r>
    <s v=""/>
    <x v="194"/>
    <x v="0"/>
    <x v="0"/>
    <x v="92"/>
    <s v="CS"/>
    <s v="PI-2018021"/>
    <n v="2"/>
    <n v="0"/>
    <n v="0"/>
    <x v="5"/>
    <x v="1"/>
    <x v="3"/>
    <x v="1"/>
    <x v="0"/>
  </r>
  <r>
    <s v=""/>
    <x v="195"/>
    <x v="0"/>
    <x v="0"/>
    <x v="104"/>
    <s v="CS"/>
    <s v="PI-2018018"/>
    <n v="4"/>
    <n v="0"/>
    <n v="0"/>
    <x v="69"/>
    <x v="1"/>
    <x v="1"/>
    <x v="1"/>
    <x v="0"/>
  </r>
  <r>
    <s v=""/>
    <x v="196"/>
    <x v="1"/>
    <x v="7"/>
    <x v="113"/>
    <s v="CS"/>
    <s v="PI-2017043"/>
    <n v="0"/>
    <n v="0"/>
    <n v="1"/>
    <x v="2"/>
    <x v="6"/>
    <x v="38"/>
    <x v="0"/>
    <x v="2"/>
  </r>
  <r>
    <s v=""/>
    <x v="196"/>
    <x v="1"/>
    <x v="7"/>
    <x v="113"/>
    <s v="CS"/>
    <s v="PI-2017049"/>
    <n v="0"/>
    <n v="0"/>
    <n v="1"/>
    <x v="2"/>
    <x v="6"/>
    <x v="39"/>
    <x v="0"/>
    <x v="2"/>
  </r>
  <r>
    <s v=""/>
    <x v="197"/>
    <x v="1"/>
    <x v="4"/>
    <x v="113"/>
    <s v="CS"/>
    <s v="PI-2018022"/>
    <n v="564"/>
    <n v="0"/>
    <n v="0"/>
    <x v="191"/>
    <x v="6"/>
    <x v="10"/>
    <x v="1"/>
    <x v="0"/>
  </r>
  <r>
    <s v=""/>
    <x v="197"/>
    <x v="1"/>
    <x v="3"/>
    <x v="113"/>
    <s v="CS"/>
    <s v="PI-2018022"/>
    <n v="30"/>
    <n v="0"/>
    <n v="0"/>
    <x v="3"/>
    <x v="6"/>
    <x v="10"/>
    <x v="1"/>
    <x v="0"/>
  </r>
  <r>
    <s v=""/>
    <x v="198"/>
    <x v="0"/>
    <x v="0"/>
    <x v="114"/>
    <s v="CS"/>
    <s v="PI-2018022"/>
    <n v="156"/>
    <n v="0"/>
    <n v="0"/>
    <x v="192"/>
    <x v="3"/>
    <x v="10"/>
    <x v="1"/>
    <x v="0"/>
  </r>
  <r>
    <s v=""/>
    <x v="199"/>
    <x v="0"/>
    <x v="0"/>
    <x v="115"/>
    <s v="CS"/>
    <s v="PI-2018023"/>
    <n v="100"/>
    <n v="0"/>
    <n v="0"/>
    <x v="143"/>
    <x v="3"/>
    <x v="7"/>
    <x v="1"/>
    <x v="0"/>
  </r>
  <r>
    <s v=""/>
    <x v="200"/>
    <x v="0"/>
    <x v="0"/>
    <x v="116"/>
    <s v="CS"/>
    <s v="PI-2018021"/>
    <n v="3"/>
    <n v="0"/>
    <n v="0"/>
    <x v="4"/>
    <x v="6"/>
    <x v="3"/>
    <x v="1"/>
    <x v="0"/>
  </r>
  <r>
    <s v=""/>
    <x v="201"/>
    <x v="0"/>
    <x v="0"/>
    <x v="117"/>
    <s v="CS"/>
    <s v="PI-2018021"/>
    <n v="250"/>
    <n v="0"/>
    <n v="0"/>
    <x v="193"/>
    <x v="3"/>
    <x v="3"/>
    <x v="1"/>
    <x v="0"/>
  </r>
  <r>
    <s v=""/>
    <x v="201"/>
    <x v="0"/>
    <x v="0"/>
    <x v="117"/>
    <s v="CS"/>
    <s v="PI-2018023"/>
    <n v="203"/>
    <n v="0"/>
    <n v="0"/>
    <x v="194"/>
    <x v="3"/>
    <x v="7"/>
    <x v="1"/>
    <x v="0"/>
  </r>
  <r>
    <s v=""/>
    <x v="202"/>
    <x v="0"/>
    <x v="0"/>
    <x v="118"/>
    <s v="CS"/>
    <s v="PI-2018023"/>
    <n v="300"/>
    <n v="0"/>
    <n v="0"/>
    <x v="92"/>
    <x v="6"/>
    <x v="7"/>
    <x v="1"/>
    <x v="0"/>
  </r>
  <r>
    <s v=""/>
    <x v="202"/>
    <x v="1"/>
    <x v="4"/>
    <x v="118"/>
    <s v="CS"/>
    <s v="PI-2018023"/>
    <n v="1"/>
    <n v="0"/>
    <n v="0"/>
    <x v="2"/>
    <x v="6"/>
    <x v="7"/>
    <x v="1"/>
    <x v="0"/>
  </r>
  <r>
    <s v=""/>
    <x v="203"/>
    <x v="0"/>
    <x v="0"/>
    <x v="119"/>
    <s v="CS"/>
    <s v="PI-2018020"/>
    <n v="2"/>
    <n v="0"/>
    <n v="0"/>
    <x v="5"/>
    <x v="6"/>
    <x v="12"/>
    <x v="1"/>
    <x v="0"/>
  </r>
  <r>
    <s v=""/>
    <x v="203"/>
    <x v="0"/>
    <x v="0"/>
    <x v="119"/>
    <s v="CS"/>
    <s v="PI-2018023"/>
    <n v="929"/>
    <n v="0"/>
    <n v="0"/>
    <x v="195"/>
    <x v="6"/>
    <x v="7"/>
    <x v="1"/>
    <x v="0"/>
  </r>
  <r>
    <s v=""/>
    <x v="203"/>
    <x v="1"/>
    <x v="4"/>
    <x v="119"/>
    <s v="CS"/>
    <s v="PI-2018023"/>
    <n v="2"/>
    <n v="0"/>
    <n v="0"/>
    <x v="5"/>
    <x v="6"/>
    <x v="7"/>
    <x v="1"/>
    <x v="0"/>
  </r>
  <r>
    <s v=""/>
    <x v="204"/>
    <x v="1"/>
    <x v="7"/>
    <x v="120"/>
    <s v="CS"/>
    <s v="PI-2018011"/>
    <n v="0"/>
    <n v="0"/>
    <n v="14"/>
    <x v="0"/>
    <x v="6"/>
    <x v="9"/>
    <x v="1"/>
    <x v="2"/>
  </r>
  <r>
    <s v=""/>
    <x v="204"/>
    <x v="1"/>
    <x v="1"/>
    <x v="120"/>
    <s v="CS"/>
    <s v="PI-2018009"/>
    <n v="0"/>
    <n v="0"/>
    <n v="1"/>
    <x v="2"/>
    <x v="6"/>
    <x v="25"/>
    <x v="1"/>
    <x v="1"/>
  </r>
  <r>
    <s v=""/>
    <x v="205"/>
    <x v="0"/>
    <x v="0"/>
    <x v="120"/>
    <s v="CS"/>
    <s v="PI-2018021"/>
    <n v="127"/>
    <n v="0"/>
    <n v="0"/>
    <x v="196"/>
    <x v="6"/>
    <x v="3"/>
    <x v="1"/>
    <x v="0"/>
  </r>
  <r>
    <s v=""/>
    <x v="205"/>
    <x v="0"/>
    <x v="0"/>
    <x v="120"/>
    <s v="CS"/>
    <s v="PI-2018022"/>
    <n v="200"/>
    <n v="0"/>
    <n v="0"/>
    <x v="197"/>
    <x v="6"/>
    <x v="10"/>
    <x v="1"/>
    <x v="0"/>
  </r>
  <r>
    <s v=""/>
    <x v="206"/>
    <x v="1"/>
    <x v="5"/>
    <x v="121"/>
    <s v="CS"/>
    <s v="PI-2018023"/>
    <n v="11"/>
    <n v="0"/>
    <n v="0"/>
    <x v="29"/>
    <x v="14"/>
    <x v="7"/>
    <x v="1"/>
    <x v="1"/>
  </r>
  <r>
    <s v=""/>
    <x v="207"/>
    <x v="0"/>
    <x v="0"/>
    <x v="122"/>
    <s v="CS"/>
    <s v="PI-2018023"/>
    <n v="405"/>
    <n v="0"/>
    <n v="0"/>
    <x v="198"/>
    <x v="2"/>
    <x v="7"/>
    <x v="1"/>
    <x v="0"/>
  </r>
  <r>
    <s v=""/>
    <x v="208"/>
    <x v="0"/>
    <x v="0"/>
    <x v="123"/>
    <s v="CS"/>
    <s v="PI-2018022"/>
    <n v="385"/>
    <n v="0"/>
    <n v="0"/>
    <x v="182"/>
    <x v="2"/>
    <x v="10"/>
    <x v="1"/>
    <x v="0"/>
  </r>
  <r>
    <s v=""/>
    <x v="209"/>
    <x v="1"/>
    <x v="5"/>
    <x v="124"/>
    <s v="CS"/>
    <s v="PI-2018002"/>
    <n v="2"/>
    <n v="0"/>
    <n v="0"/>
    <x v="5"/>
    <x v="11"/>
    <x v="24"/>
    <x v="1"/>
    <x v="1"/>
  </r>
  <r>
    <s v=""/>
    <x v="210"/>
    <x v="1"/>
    <x v="1"/>
    <x v="124"/>
    <s v="CS"/>
    <s v="PI-2018010"/>
    <n v="0"/>
    <n v="0"/>
    <n v="1"/>
    <x v="2"/>
    <x v="11"/>
    <x v="19"/>
    <x v="1"/>
    <x v="1"/>
  </r>
  <r>
    <s v=""/>
    <x v="211"/>
    <x v="0"/>
    <x v="8"/>
    <x v="124"/>
    <s v="CS"/>
    <s v="PI-2018018"/>
    <n v="1"/>
    <n v="0"/>
    <n v="0"/>
    <x v="2"/>
    <x v="11"/>
    <x v="1"/>
    <x v="1"/>
    <x v="2"/>
  </r>
  <r>
    <s v=""/>
    <x v="211"/>
    <x v="0"/>
    <x v="8"/>
    <x v="124"/>
    <s v="CS"/>
    <s v="PI-2018022"/>
    <n v="19"/>
    <n v="0"/>
    <n v="0"/>
    <x v="124"/>
    <x v="11"/>
    <x v="10"/>
    <x v="1"/>
    <x v="2"/>
  </r>
  <r>
    <s v=""/>
    <x v="211"/>
    <x v="0"/>
    <x v="8"/>
    <x v="124"/>
    <s v="CS"/>
    <s v="PI-2018023"/>
    <n v="52"/>
    <n v="0"/>
    <n v="0"/>
    <x v="94"/>
    <x v="11"/>
    <x v="7"/>
    <x v="1"/>
    <x v="2"/>
  </r>
  <r>
    <s v=""/>
    <x v="211"/>
    <x v="1"/>
    <x v="7"/>
    <x v="124"/>
    <s v="CS"/>
    <s v="PI-2018013"/>
    <n v="0"/>
    <n v="6.28"/>
    <n v="0"/>
    <x v="199"/>
    <x v="11"/>
    <x v="11"/>
    <x v="1"/>
    <x v="2"/>
  </r>
  <r>
    <s v=""/>
    <x v="211"/>
    <x v="1"/>
    <x v="7"/>
    <x v="124"/>
    <s v="CS"/>
    <s v="PI-2018014"/>
    <n v="0"/>
    <n v="5.6859999999999999"/>
    <n v="0"/>
    <x v="200"/>
    <x v="11"/>
    <x v="16"/>
    <x v="1"/>
    <x v="2"/>
  </r>
  <r>
    <s v=""/>
    <x v="211"/>
    <x v="1"/>
    <x v="7"/>
    <x v="124"/>
    <s v="CS"/>
    <s v="PI-2018015"/>
    <n v="0"/>
    <n v="0.188"/>
    <n v="0"/>
    <x v="201"/>
    <x v="11"/>
    <x v="5"/>
    <x v="1"/>
    <x v="2"/>
  </r>
  <r>
    <s v=""/>
    <x v="211"/>
    <x v="1"/>
    <x v="7"/>
    <x v="124"/>
    <s v="CS"/>
    <s v="PI-2018017"/>
    <n v="0"/>
    <n v="6.8179999999999996"/>
    <n v="0"/>
    <x v="202"/>
    <x v="11"/>
    <x v="8"/>
    <x v="1"/>
    <x v="2"/>
  </r>
  <r>
    <s v=""/>
    <x v="211"/>
    <x v="1"/>
    <x v="7"/>
    <x v="124"/>
    <s v="CS"/>
    <s v="PI-2018018"/>
    <n v="0"/>
    <n v="3.3559999999999999"/>
    <n v="0"/>
    <x v="203"/>
    <x v="11"/>
    <x v="1"/>
    <x v="1"/>
    <x v="2"/>
  </r>
  <r>
    <s v=""/>
    <x v="211"/>
    <x v="1"/>
    <x v="7"/>
    <x v="124"/>
    <s v="CS"/>
    <s v="PI-2018019"/>
    <n v="0"/>
    <n v="5.9459999999999997"/>
    <n v="0"/>
    <x v="204"/>
    <x v="11"/>
    <x v="4"/>
    <x v="1"/>
    <x v="2"/>
  </r>
  <r>
    <s v=""/>
    <x v="211"/>
    <x v="1"/>
    <x v="7"/>
    <x v="124"/>
    <s v="CS"/>
    <s v="PI-2018020"/>
    <n v="0"/>
    <n v="2.2120000000000002"/>
    <n v="0"/>
    <x v="205"/>
    <x v="11"/>
    <x v="12"/>
    <x v="1"/>
    <x v="2"/>
  </r>
  <r>
    <s v=""/>
    <x v="211"/>
    <x v="1"/>
    <x v="7"/>
    <x v="124"/>
    <s v="CS"/>
    <s v="PI-2018021"/>
    <n v="0"/>
    <n v="4.968"/>
    <n v="0"/>
    <x v="206"/>
    <x v="11"/>
    <x v="3"/>
    <x v="1"/>
    <x v="2"/>
  </r>
  <r>
    <s v=""/>
    <x v="211"/>
    <x v="1"/>
    <x v="7"/>
    <x v="124"/>
    <s v="CS"/>
    <s v="PI-2018022"/>
    <n v="0"/>
    <n v="5.3019999999999996"/>
    <n v="0.35"/>
    <x v="207"/>
    <x v="11"/>
    <x v="10"/>
    <x v="1"/>
    <x v="2"/>
  </r>
  <r>
    <s v=""/>
    <x v="211"/>
    <x v="1"/>
    <x v="7"/>
    <x v="124"/>
    <s v="CS"/>
    <s v="PI-2018023"/>
    <n v="0"/>
    <n v="4.9320000000000004"/>
    <n v="0"/>
    <x v="208"/>
    <x v="11"/>
    <x v="7"/>
    <x v="1"/>
    <x v="2"/>
  </r>
  <r>
    <s v=""/>
    <x v="211"/>
    <x v="1"/>
    <x v="2"/>
    <x v="124"/>
    <s v="CS"/>
    <s v="PI-2018013"/>
    <n v="0"/>
    <n v="0"/>
    <n v="2.2400000000000002"/>
    <x v="209"/>
    <x v="11"/>
    <x v="11"/>
    <x v="1"/>
    <x v="1"/>
  </r>
  <r>
    <s v=""/>
    <x v="212"/>
    <x v="1"/>
    <x v="1"/>
    <x v="110"/>
    <s v="CS"/>
    <s v="PI-2018017"/>
    <n v="0"/>
    <n v="0"/>
    <n v="1"/>
    <x v="2"/>
    <x v="6"/>
    <x v="8"/>
    <x v="1"/>
    <x v="1"/>
  </r>
  <r>
    <s v=""/>
    <x v="213"/>
    <x v="0"/>
    <x v="0"/>
    <x v="110"/>
    <s v="CS"/>
    <s v="PI-2018022"/>
    <n v="300"/>
    <n v="0"/>
    <n v="0"/>
    <x v="92"/>
    <x v="6"/>
    <x v="10"/>
    <x v="1"/>
    <x v="0"/>
  </r>
  <r>
    <s v=""/>
    <x v="213"/>
    <x v="0"/>
    <x v="0"/>
    <x v="110"/>
    <s v="CS"/>
    <s v="PI-2018023"/>
    <n v="150"/>
    <n v="0"/>
    <n v="0"/>
    <x v="210"/>
    <x v="6"/>
    <x v="7"/>
    <x v="1"/>
    <x v="0"/>
  </r>
  <r>
    <s v=""/>
    <x v="213"/>
    <x v="1"/>
    <x v="4"/>
    <x v="110"/>
    <s v="CS"/>
    <s v="PI-2018022"/>
    <n v="1"/>
    <n v="0"/>
    <n v="0"/>
    <x v="2"/>
    <x v="6"/>
    <x v="10"/>
    <x v="1"/>
    <x v="0"/>
  </r>
  <r>
    <s v=""/>
    <x v="213"/>
    <x v="1"/>
    <x v="1"/>
    <x v="110"/>
    <s v="CS"/>
    <s v="PI-2018020"/>
    <n v="6"/>
    <n v="0"/>
    <n v="0"/>
    <x v="99"/>
    <x v="6"/>
    <x v="12"/>
    <x v="1"/>
    <x v="1"/>
  </r>
  <r>
    <s v=""/>
    <x v="213"/>
    <x v="1"/>
    <x v="3"/>
    <x v="110"/>
    <s v="CS"/>
    <s v="PI-2018020"/>
    <n v="1"/>
    <n v="0"/>
    <n v="0"/>
    <x v="2"/>
    <x v="6"/>
    <x v="12"/>
    <x v="1"/>
    <x v="0"/>
  </r>
  <r>
    <s v=""/>
    <x v="214"/>
    <x v="0"/>
    <x v="0"/>
    <x v="110"/>
    <s v="CS"/>
    <s v="PI-2018021"/>
    <n v="25"/>
    <n v="0"/>
    <n v="0"/>
    <x v="211"/>
    <x v="19"/>
    <x v="3"/>
    <x v="1"/>
    <x v="0"/>
  </r>
  <r>
    <s v=""/>
    <x v="214"/>
    <x v="1"/>
    <x v="4"/>
    <x v="110"/>
    <s v="CS"/>
    <s v="PI-2018023"/>
    <n v="102"/>
    <n v="0"/>
    <n v="0"/>
    <x v="159"/>
    <x v="19"/>
    <x v="7"/>
    <x v="1"/>
    <x v="0"/>
  </r>
  <r>
    <s v=""/>
    <x v="215"/>
    <x v="1"/>
    <x v="3"/>
    <x v="125"/>
    <s v="CS"/>
    <s v="PI-2018017"/>
    <n v="1"/>
    <n v="0"/>
    <n v="0"/>
    <x v="2"/>
    <x v="19"/>
    <x v="8"/>
    <x v="1"/>
    <x v="0"/>
  </r>
  <r>
    <s v=""/>
    <x v="216"/>
    <x v="0"/>
    <x v="0"/>
    <x v="126"/>
    <s v="CS"/>
    <s v="PI-2018020"/>
    <n v="1"/>
    <n v="0"/>
    <n v="0"/>
    <x v="2"/>
    <x v="19"/>
    <x v="12"/>
    <x v="1"/>
    <x v="0"/>
  </r>
  <r>
    <s v=""/>
    <x v="216"/>
    <x v="0"/>
    <x v="0"/>
    <x v="126"/>
    <s v="CS"/>
    <s v="PI-2018023"/>
    <n v="420"/>
    <n v="0"/>
    <n v="0"/>
    <x v="212"/>
    <x v="19"/>
    <x v="7"/>
    <x v="1"/>
    <x v="0"/>
  </r>
  <r>
    <s v=""/>
    <x v="216"/>
    <x v="1"/>
    <x v="4"/>
    <x v="126"/>
    <s v="CS"/>
    <s v="PI-2018023"/>
    <n v="2"/>
    <n v="0"/>
    <n v="0"/>
    <x v="5"/>
    <x v="19"/>
    <x v="7"/>
    <x v="1"/>
    <x v="0"/>
  </r>
  <r>
    <s v=""/>
    <x v="216"/>
    <x v="1"/>
    <x v="1"/>
    <x v="126"/>
    <s v="CS"/>
    <s v="PI-2018017"/>
    <n v="1"/>
    <n v="0"/>
    <n v="0"/>
    <x v="2"/>
    <x v="19"/>
    <x v="8"/>
    <x v="1"/>
    <x v="1"/>
  </r>
  <r>
    <s v=""/>
    <x v="217"/>
    <x v="1"/>
    <x v="4"/>
    <x v="127"/>
    <s v="CS"/>
    <s v="PI-2017041"/>
    <n v="2"/>
    <n v="0"/>
    <n v="0"/>
    <x v="5"/>
    <x v="5"/>
    <x v="27"/>
    <x v="0"/>
    <x v="0"/>
  </r>
  <r>
    <s v=""/>
    <x v="217"/>
    <x v="1"/>
    <x v="7"/>
    <x v="127"/>
    <s v="CS"/>
    <s v="PI-2017041"/>
    <n v="0"/>
    <n v="0"/>
    <n v="15"/>
    <x v="44"/>
    <x v="5"/>
    <x v="27"/>
    <x v="0"/>
    <x v="2"/>
  </r>
  <r>
    <s v=""/>
    <x v="217"/>
    <x v="1"/>
    <x v="1"/>
    <x v="127"/>
    <s v="CS"/>
    <s v="PI-2018016"/>
    <n v="0"/>
    <n v="0"/>
    <n v="2"/>
    <x v="5"/>
    <x v="5"/>
    <x v="15"/>
    <x v="1"/>
    <x v="1"/>
  </r>
  <r>
    <s v=""/>
    <x v="217"/>
    <x v="1"/>
    <x v="5"/>
    <x v="127"/>
    <s v="CS"/>
    <s v="PI-2018023"/>
    <n v="195"/>
    <n v="0"/>
    <n v="0"/>
    <x v="213"/>
    <x v="5"/>
    <x v="7"/>
    <x v="1"/>
    <x v="1"/>
  </r>
  <r>
    <s v=""/>
    <x v="217"/>
    <x v="1"/>
    <x v="2"/>
    <x v="127"/>
    <s v="CS"/>
    <s v="PI-2018019"/>
    <n v="0"/>
    <n v="2"/>
    <n v="0"/>
    <x v="5"/>
    <x v="5"/>
    <x v="4"/>
    <x v="1"/>
    <x v="1"/>
  </r>
  <r>
    <s v=""/>
    <x v="217"/>
    <x v="1"/>
    <x v="2"/>
    <x v="127"/>
    <s v="CS"/>
    <s v="PI-2018023"/>
    <n v="30"/>
    <n v="0"/>
    <n v="0"/>
    <x v="3"/>
    <x v="5"/>
    <x v="7"/>
    <x v="1"/>
    <x v="1"/>
  </r>
  <r>
    <s v=""/>
    <x v="218"/>
    <x v="0"/>
    <x v="0"/>
    <x v="22"/>
    <s v="CS"/>
    <s v="PI-2018023"/>
    <n v="180"/>
    <n v="0"/>
    <n v="0"/>
    <x v="214"/>
    <x v="25"/>
    <x v="7"/>
    <x v="1"/>
    <x v="0"/>
  </r>
  <r>
    <s v=""/>
    <x v="219"/>
    <x v="1"/>
    <x v="4"/>
    <x v="128"/>
    <s v="CS"/>
    <s v="PI-2018014"/>
    <n v="1"/>
    <n v="0"/>
    <n v="0"/>
    <x v="2"/>
    <x v="23"/>
    <x v="16"/>
    <x v="1"/>
    <x v="0"/>
  </r>
  <r>
    <s v=""/>
    <x v="220"/>
    <x v="1"/>
    <x v="4"/>
    <x v="129"/>
    <s v="CS"/>
    <s v="PI-2018023"/>
    <n v="272"/>
    <n v="0"/>
    <n v="0"/>
    <x v="215"/>
    <x v="20"/>
    <x v="7"/>
    <x v="1"/>
    <x v="0"/>
  </r>
  <r>
    <s v=""/>
    <x v="220"/>
    <x v="1"/>
    <x v="5"/>
    <x v="129"/>
    <s v="CS"/>
    <s v="PI-2018023"/>
    <n v="34"/>
    <n v="0"/>
    <n v="0"/>
    <x v="216"/>
    <x v="20"/>
    <x v="7"/>
    <x v="1"/>
    <x v="1"/>
  </r>
  <r>
    <s v=""/>
    <x v="221"/>
    <x v="0"/>
    <x v="0"/>
    <x v="130"/>
    <s v="CS"/>
    <s v="PI-2018020"/>
    <n v="229"/>
    <n v="0"/>
    <n v="0"/>
    <x v="217"/>
    <x v="20"/>
    <x v="12"/>
    <x v="1"/>
    <x v="0"/>
  </r>
  <r>
    <s v=""/>
    <x v="221"/>
    <x v="1"/>
    <x v="4"/>
    <x v="130"/>
    <s v="CS"/>
    <s v="PI-2018020"/>
    <n v="69"/>
    <n v="0"/>
    <n v="0"/>
    <x v="218"/>
    <x v="20"/>
    <x v="12"/>
    <x v="1"/>
    <x v="0"/>
  </r>
  <r>
    <s v=""/>
    <x v="222"/>
    <x v="1"/>
    <x v="1"/>
    <x v="21"/>
    <s v="CS"/>
    <s v="PI-2018014"/>
    <n v="0"/>
    <n v="0"/>
    <n v="1.083"/>
    <x v="219"/>
    <x v="16"/>
    <x v="16"/>
    <x v="1"/>
    <x v="1"/>
  </r>
  <r>
    <s v=""/>
    <x v="222"/>
    <x v="1"/>
    <x v="1"/>
    <x v="21"/>
    <s v="CS"/>
    <s v="PI-2018021"/>
    <n v="0.91700000000000004"/>
    <n v="0"/>
    <n v="0"/>
    <x v="220"/>
    <x v="16"/>
    <x v="3"/>
    <x v="1"/>
    <x v="1"/>
  </r>
  <r>
    <s v=""/>
    <x v="222"/>
    <x v="1"/>
    <x v="9"/>
    <x v="21"/>
    <s v="CS"/>
    <s v="PI-2018021"/>
    <n v="3"/>
    <n v="0"/>
    <n v="0"/>
    <x v="4"/>
    <x v="16"/>
    <x v="3"/>
    <x v="1"/>
    <x v="2"/>
  </r>
  <r>
    <s v=""/>
    <x v="223"/>
    <x v="1"/>
    <x v="1"/>
    <x v="131"/>
    <s v="CS"/>
    <s v="PI-2018021"/>
    <n v="1"/>
    <n v="0"/>
    <n v="0"/>
    <x v="2"/>
    <x v="23"/>
    <x v="3"/>
    <x v="1"/>
    <x v="1"/>
  </r>
  <r>
    <s v=""/>
    <x v="223"/>
    <x v="1"/>
    <x v="9"/>
    <x v="131"/>
    <s v="CS"/>
    <s v="PI-2018021"/>
    <n v="154"/>
    <n v="0"/>
    <n v="0"/>
    <x v="188"/>
    <x v="23"/>
    <x v="3"/>
    <x v="1"/>
    <x v="2"/>
  </r>
  <r>
    <s v=""/>
    <x v="224"/>
    <x v="1"/>
    <x v="1"/>
    <x v="131"/>
    <s v="CS"/>
    <s v="PI-2018021"/>
    <n v="1"/>
    <n v="0"/>
    <n v="0"/>
    <x v="2"/>
    <x v="23"/>
    <x v="3"/>
    <x v="1"/>
    <x v="1"/>
  </r>
  <r>
    <s v=""/>
    <x v="224"/>
    <x v="1"/>
    <x v="9"/>
    <x v="131"/>
    <s v="CS"/>
    <s v="PI-2018021"/>
    <n v="149"/>
    <n v="0"/>
    <n v="0"/>
    <x v="168"/>
    <x v="23"/>
    <x v="3"/>
    <x v="1"/>
    <x v="2"/>
  </r>
  <r>
    <s v=""/>
    <x v="225"/>
    <x v="1"/>
    <x v="1"/>
    <x v="132"/>
    <s v="CS"/>
    <s v="PI-2018010"/>
    <n v="0"/>
    <n v="0"/>
    <n v="4"/>
    <x v="69"/>
    <x v="23"/>
    <x v="19"/>
    <x v="1"/>
    <x v="1"/>
  </r>
  <r>
    <s v=""/>
    <x v="225"/>
    <x v="1"/>
    <x v="1"/>
    <x v="132"/>
    <s v="CS"/>
    <s v="PI-2018014"/>
    <n v="0"/>
    <n v="0"/>
    <n v="1"/>
    <x v="2"/>
    <x v="23"/>
    <x v="16"/>
    <x v="1"/>
    <x v="1"/>
  </r>
  <r>
    <s v=""/>
    <x v="225"/>
    <x v="1"/>
    <x v="1"/>
    <x v="132"/>
    <s v="CS"/>
    <s v="PI-2018017"/>
    <n v="1"/>
    <n v="0"/>
    <n v="0"/>
    <x v="2"/>
    <x v="23"/>
    <x v="8"/>
    <x v="1"/>
    <x v="1"/>
  </r>
  <r>
    <s v=""/>
    <x v="225"/>
    <x v="1"/>
    <x v="2"/>
    <x v="132"/>
    <s v="CS"/>
    <s v="PI-2018010"/>
    <n v="0"/>
    <n v="21"/>
    <n v="0"/>
    <x v="221"/>
    <x v="23"/>
    <x v="19"/>
    <x v="1"/>
    <x v="1"/>
  </r>
  <r>
    <s v=""/>
    <x v="225"/>
    <x v="1"/>
    <x v="3"/>
    <x v="132"/>
    <s v="CS"/>
    <s v="PI-2018017"/>
    <n v="3"/>
    <n v="0"/>
    <n v="0"/>
    <x v="4"/>
    <x v="23"/>
    <x v="8"/>
    <x v="1"/>
    <x v="0"/>
  </r>
  <r>
    <s v=""/>
    <x v="226"/>
    <x v="0"/>
    <x v="0"/>
    <x v="132"/>
    <s v="CS"/>
    <s v="PI-2018017"/>
    <n v="8"/>
    <n v="0"/>
    <n v="0"/>
    <x v="12"/>
    <x v="23"/>
    <x v="8"/>
    <x v="1"/>
    <x v="0"/>
  </r>
  <r>
    <s v=""/>
    <x v="226"/>
    <x v="1"/>
    <x v="1"/>
    <x v="132"/>
    <s v="CS"/>
    <s v="PI-2018008"/>
    <n v="0"/>
    <n v="0"/>
    <n v="0.5"/>
    <x v="222"/>
    <x v="23"/>
    <x v="31"/>
    <x v="1"/>
    <x v="1"/>
  </r>
  <r>
    <s v=""/>
    <x v="226"/>
    <x v="1"/>
    <x v="1"/>
    <x v="132"/>
    <s v="CS"/>
    <s v="PI-2018014"/>
    <n v="1"/>
    <n v="0"/>
    <n v="2"/>
    <x v="4"/>
    <x v="23"/>
    <x v="16"/>
    <x v="1"/>
    <x v="1"/>
  </r>
  <r>
    <s v=""/>
    <x v="226"/>
    <x v="1"/>
    <x v="9"/>
    <x v="132"/>
    <s v="CS"/>
    <s v="PI-2018022"/>
    <n v="16"/>
    <n v="0"/>
    <n v="0"/>
    <x v="21"/>
    <x v="23"/>
    <x v="10"/>
    <x v="1"/>
    <x v="2"/>
  </r>
  <r>
    <s v=""/>
    <x v="226"/>
    <x v="1"/>
    <x v="3"/>
    <x v="132"/>
    <s v="CS"/>
    <s v="PI-2018017"/>
    <n v="1"/>
    <n v="0"/>
    <n v="0"/>
    <x v="2"/>
    <x v="23"/>
    <x v="8"/>
    <x v="1"/>
    <x v="0"/>
  </r>
  <r>
    <s v=""/>
    <x v="226"/>
    <x v="1"/>
    <x v="3"/>
    <x v="132"/>
    <s v="CS"/>
    <s v="PI-2018022"/>
    <n v="106"/>
    <n v="0"/>
    <n v="0"/>
    <x v="223"/>
    <x v="23"/>
    <x v="10"/>
    <x v="1"/>
    <x v="0"/>
  </r>
  <r>
    <s v=""/>
    <x v="227"/>
    <x v="0"/>
    <x v="0"/>
    <x v="128"/>
    <s v="CS"/>
    <s v="PI-2018021"/>
    <n v="1"/>
    <n v="0"/>
    <n v="0"/>
    <x v="2"/>
    <x v="23"/>
    <x v="3"/>
    <x v="1"/>
    <x v="0"/>
  </r>
  <r>
    <s v=""/>
    <x v="228"/>
    <x v="0"/>
    <x v="0"/>
    <x v="128"/>
    <s v="CS"/>
    <s v="PI-2018021"/>
    <n v="1"/>
    <n v="0"/>
    <n v="0"/>
    <x v="2"/>
    <x v="23"/>
    <x v="3"/>
    <x v="1"/>
    <x v="0"/>
  </r>
  <r>
    <s v=""/>
    <x v="228"/>
    <x v="1"/>
    <x v="3"/>
    <x v="128"/>
    <s v="CS"/>
    <s v="PI-2018011"/>
    <n v="2"/>
    <n v="0"/>
    <n v="0"/>
    <x v="5"/>
    <x v="23"/>
    <x v="9"/>
    <x v="1"/>
    <x v="0"/>
  </r>
  <r>
    <s v=""/>
    <x v="229"/>
    <x v="0"/>
    <x v="0"/>
    <x v="128"/>
    <s v="CS"/>
    <s v="PI-2018020"/>
    <n v="44"/>
    <n v="0"/>
    <n v="0"/>
    <x v="41"/>
    <x v="23"/>
    <x v="12"/>
    <x v="1"/>
    <x v="0"/>
  </r>
  <r>
    <s v=""/>
    <x v="229"/>
    <x v="1"/>
    <x v="4"/>
    <x v="128"/>
    <s v="CS"/>
    <s v="PI-2018019"/>
    <n v="10"/>
    <n v="0"/>
    <n v="0"/>
    <x v="105"/>
    <x v="23"/>
    <x v="4"/>
    <x v="1"/>
    <x v="0"/>
  </r>
  <r>
    <s v=""/>
    <x v="229"/>
    <x v="1"/>
    <x v="1"/>
    <x v="128"/>
    <s v="CS"/>
    <s v="PI-2018015"/>
    <n v="0"/>
    <n v="0"/>
    <n v="1"/>
    <x v="2"/>
    <x v="23"/>
    <x v="5"/>
    <x v="1"/>
    <x v="1"/>
  </r>
  <r>
    <s v=""/>
    <x v="229"/>
    <x v="1"/>
    <x v="2"/>
    <x v="128"/>
    <s v="CS"/>
    <s v="PI-2018012"/>
    <n v="0"/>
    <n v="6"/>
    <n v="0"/>
    <x v="99"/>
    <x v="23"/>
    <x v="20"/>
    <x v="1"/>
    <x v="1"/>
  </r>
  <r>
    <s v=""/>
    <x v="230"/>
    <x v="0"/>
    <x v="0"/>
    <x v="133"/>
    <s v="CS"/>
    <s v="PI-2018021"/>
    <n v="117"/>
    <n v="0"/>
    <n v="0"/>
    <x v="224"/>
    <x v="23"/>
    <x v="3"/>
    <x v="1"/>
    <x v="0"/>
  </r>
  <r>
    <s v=""/>
    <x v="231"/>
    <x v="1"/>
    <x v="4"/>
    <x v="133"/>
    <s v="CS"/>
    <s v="PI-2018017"/>
    <n v="30"/>
    <n v="0"/>
    <n v="0"/>
    <x v="3"/>
    <x v="23"/>
    <x v="8"/>
    <x v="1"/>
    <x v="0"/>
  </r>
  <r>
    <s v=""/>
    <x v="232"/>
    <x v="0"/>
    <x v="0"/>
    <x v="133"/>
    <s v="CS"/>
    <s v="PI-2018020"/>
    <n v="1"/>
    <n v="0"/>
    <n v="0"/>
    <x v="2"/>
    <x v="23"/>
    <x v="12"/>
    <x v="1"/>
    <x v="0"/>
  </r>
  <r>
    <s v=""/>
    <x v="232"/>
    <x v="1"/>
    <x v="1"/>
    <x v="133"/>
    <s v="CS"/>
    <s v="PI-2018014"/>
    <n v="0"/>
    <n v="0"/>
    <n v="1"/>
    <x v="2"/>
    <x v="23"/>
    <x v="16"/>
    <x v="1"/>
    <x v="1"/>
  </r>
  <r>
    <s v=""/>
    <x v="233"/>
    <x v="0"/>
    <x v="0"/>
    <x v="134"/>
    <s v="CS"/>
    <s v="PI-2018017"/>
    <n v="1"/>
    <n v="0"/>
    <n v="0"/>
    <x v="2"/>
    <x v="8"/>
    <x v="8"/>
    <x v="1"/>
    <x v="0"/>
  </r>
  <r>
    <s v=""/>
    <x v="234"/>
    <x v="1"/>
    <x v="1"/>
    <x v="135"/>
    <s v="CS"/>
    <s v="PI-2018005"/>
    <n v="0"/>
    <n v="0"/>
    <n v="1"/>
    <x v="2"/>
    <x v="15"/>
    <x v="26"/>
    <x v="1"/>
    <x v="1"/>
  </r>
  <r>
    <s v=""/>
    <x v="234"/>
    <x v="1"/>
    <x v="1"/>
    <x v="135"/>
    <s v="CS"/>
    <s v="PI-2018015"/>
    <n v="0"/>
    <n v="0"/>
    <n v="1"/>
    <x v="2"/>
    <x v="15"/>
    <x v="5"/>
    <x v="1"/>
    <x v="1"/>
  </r>
  <r>
    <s v=""/>
    <x v="234"/>
    <x v="1"/>
    <x v="3"/>
    <x v="135"/>
    <s v="CS"/>
    <s v="PI-2018019"/>
    <n v="10"/>
    <n v="0"/>
    <n v="0"/>
    <x v="105"/>
    <x v="15"/>
    <x v="4"/>
    <x v="1"/>
    <x v="0"/>
  </r>
  <r>
    <s v=""/>
    <x v="235"/>
    <x v="0"/>
    <x v="0"/>
    <x v="135"/>
    <s v="CS"/>
    <s v="PI-2018020"/>
    <n v="660"/>
    <n v="0"/>
    <n v="0"/>
    <x v="225"/>
    <x v="18"/>
    <x v="12"/>
    <x v="1"/>
    <x v="0"/>
  </r>
  <r>
    <s v=""/>
    <x v="235"/>
    <x v="0"/>
    <x v="0"/>
    <x v="135"/>
    <s v="CS"/>
    <s v="PI-2018021"/>
    <n v="337"/>
    <n v="0"/>
    <n v="0"/>
    <x v="226"/>
    <x v="18"/>
    <x v="3"/>
    <x v="1"/>
    <x v="0"/>
  </r>
  <r>
    <s v=""/>
    <x v="235"/>
    <x v="1"/>
    <x v="5"/>
    <x v="135"/>
    <s v="CS"/>
    <s v="PI-2018021"/>
    <n v="2"/>
    <n v="0"/>
    <n v="0"/>
    <x v="5"/>
    <x v="18"/>
    <x v="3"/>
    <x v="1"/>
    <x v="1"/>
  </r>
  <r>
    <s v=""/>
    <x v="236"/>
    <x v="0"/>
    <x v="0"/>
    <x v="136"/>
    <s v="CS"/>
    <s v="PI-2018020"/>
    <n v="1"/>
    <n v="0"/>
    <n v="0"/>
    <x v="2"/>
    <x v="23"/>
    <x v="12"/>
    <x v="1"/>
    <x v="0"/>
  </r>
  <r>
    <s v=""/>
    <x v="236"/>
    <x v="1"/>
    <x v="1"/>
    <x v="136"/>
    <s v="CS"/>
    <s v="PI-2018012"/>
    <n v="0"/>
    <n v="0"/>
    <n v="1"/>
    <x v="2"/>
    <x v="23"/>
    <x v="20"/>
    <x v="1"/>
    <x v="1"/>
  </r>
  <r>
    <s v=""/>
    <x v="237"/>
    <x v="0"/>
    <x v="0"/>
    <x v="136"/>
    <s v="CS"/>
    <s v="PI-2018017"/>
    <n v="0"/>
    <n v="1"/>
    <n v="0"/>
    <x v="2"/>
    <x v="23"/>
    <x v="8"/>
    <x v="1"/>
    <x v="0"/>
  </r>
  <r>
    <s v=""/>
    <x v="237"/>
    <x v="1"/>
    <x v="1"/>
    <x v="136"/>
    <s v="CS"/>
    <s v="PI-2018013"/>
    <n v="0"/>
    <n v="0"/>
    <n v="36"/>
    <x v="227"/>
    <x v="23"/>
    <x v="11"/>
    <x v="1"/>
    <x v="1"/>
  </r>
  <r>
    <s v=""/>
    <x v="237"/>
    <x v="1"/>
    <x v="1"/>
    <x v="136"/>
    <s v="CS"/>
    <s v="PI-2018014"/>
    <n v="0"/>
    <n v="0"/>
    <n v="1"/>
    <x v="2"/>
    <x v="23"/>
    <x v="16"/>
    <x v="1"/>
    <x v="1"/>
  </r>
  <r>
    <s v=""/>
    <x v="237"/>
    <x v="1"/>
    <x v="1"/>
    <x v="136"/>
    <s v="CS"/>
    <s v="PI-2018017"/>
    <n v="0"/>
    <n v="0"/>
    <n v="43"/>
    <x v="96"/>
    <x v="23"/>
    <x v="8"/>
    <x v="1"/>
    <x v="1"/>
  </r>
  <r>
    <s v=""/>
    <x v="237"/>
    <x v="1"/>
    <x v="2"/>
    <x v="136"/>
    <s v="CS"/>
    <s v="PI-2018017"/>
    <n v="0"/>
    <n v="1"/>
    <n v="0"/>
    <x v="2"/>
    <x v="23"/>
    <x v="8"/>
    <x v="1"/>
    <x v="1"/>
  </r>
  <r>
    <s v=""/>
    <x v="237"/>
    <x v="1"/>
    <x v="3"/>
    <x v="136"/>
    <s v="CS"/>
    <s v="PI-2018017"/>
    <n v="1"/>
    <n v="0"/>
    <n v="0"/>
    <x v="2"/>
    <x v="23"/>
    <x v="8"/>
    <x v="1"/>
    <x v="0"/>
  </r>
  <r>
    <s v=""/>
    <x v="238"/>
    <x v="0"/>
    <x v="0"/>
    <x v="136"/>
    <s v="CS"/>
    <s v="PI-2018017"/>
    <n v="1"/>
    <n v="0"/>
    <n v="0"/>
    <x v="2"/>
    <x v="23"/>
    <x v="8"/>
    <x v="1"/>
    <x v="0"/>
  </r>
  <r>
    <s v=""/>
    <x v="238"/>
    <x v="0"/>
    <x v="0"/>
    <x v="136"/>
    <s v="CS"/>
    <s v="PI-2018020"/>
    <n v="5"/>
    <n v="0"/>
    <n v="0"/>
    <x v="42"/>
    <x v="23"/>
    <x v="12"/>
    <x v="1"/>
    <x v="0"/>
  </r>
  <r>
    <s v=""/>
    <x v="239"/>
    <x v="0"/>
    <x v="0"/>
    <x v="136"/>
    <s v="CS"/>
    <s v="PI-2018019"/>
    <n v="1"/>
    <n v="0"/>
    <n v="0"/>
    <x v="2"/>
    <x v="23"/>
    <x v="4"/>
    <x v="1"/>
    <x v="0"/>
  </r>
  <r>
    <s v=""/>
    <x v="239"/>
    <x v="1"/>
    <x v="4"/>
    <x v="136"/>
    <s v="CS"/>
    <s v="PI-2018010"/>
    <n v="1"/>
    <n v="0"/>
    <n v="0"/>
    <x v="2"/>
    <x v="23"/>
    <x v="19"/>
    <x v="1"/>
    <x v="0"/>
  </r>
  <r>
    <s v=""/>
    <x v="240"/>
    <x v="0"/>
    <x v="0"/>
    <x v="135"/>
    <s v="CS"/>
    <s v="PI-2018019"/>
    <n v="1"/>
    <n v="0"/>
    <n v="0"/>
    <x v="2"/>
    <x v="20"/>
    <x v="4"/>
    <x v="1"/>
    <x v="0"/>
  </r>
  <r>
    <s v=""/>
    <x v="241"/>
    <x v="0"/>
    <x v="0"/>
    <x v="136"/>
    <s v="CS"/>
    <s v="PI-2018020"/>
    <n v="12"/>
    <n v="0"/>
    <n v="0"/>
    <x v="40"/>
    <x v="9"/>
    <x v="12"/>
    <x v="1"/>
    <x v="0"/>
  </r>
  <r>
    <s v=""/>
    <x v="241"/>
    <x v="0"/>
    <x v="0"/>
    <x v="136"/>
    <s v="CS"/>
    <s v="PI-2018022"/>
    <n v="440"/>
    <n v="0"/>
    <n v="0"/>
    <x v="228"/>
    <x v="9"/>
    <x v="10"/>
    <x v="1"/>
    <x v="0"/>
  </r>
  <r>
    <s v=""/>
    <x v="241"/>
    <x v="0"/>
    <x v="0"/>
    <x v="136"/>
    <s v="CS"/>
    <s v="PI-2018023"/>
    <n v="443"/>
    <n v="0"/>
    <n v="0"/>
    <x v="229"/>
    <x v="9"/>
    <x v="7"/>
    <x v="1"/>
    <x v="0"/>
  </r>
  <r>
    <s v=""/>
    <x v="241"/>
    <x v="1"/>
    <x v="5"/>
    <x v="136"/>
    <s v="CS"/>
    <s v="PI-2018023"/>
    <n v="1"/>
    <n v="0"/>
    <n v="0"/>
    <x v="2"/>
    <x v="9"/>
    <x v="7"/>
    <x v="1"/>
    <x v="1"/>
  </r>
  <r>
    <s v=""/>
    <x v="241"/>
    <x v="1"/>
    <x v="3"/>
    <x v="136"/>
    <s v="CS"/>
    <s v="PI-2018020"/>
    <n v="33"/>
    <n v="0"/>
    <n v="0"/>
    <x v="230"/>
    <x v="9"/>
    <x v="12"/>
    <x v="1"/>
    <x v="0"/>
  </r>
  <r>
    <s v=""/>
    <x v="242"/>
    <x v="1"/>
    <x v="1"/>
    <x v="137"/>
    <s v="CS"/>
    <s v="PI-2018009"/>
    <n v="0.54200000000000004"/>
    <n v="0"/>
    <n v="0"/>
    <x v="231"/>
    <x v="20"/>
    <x v="25"/>
    <x v="1"/>
    <x v="1"/>
  </r>
  <r>
    <s v=""/>
    <x v="243"/>
    <x v="0"/>
    <x v="0"/>
    <x v="80"/>
    <s v="CS"/>
    <s v="PI-2018016"/>
    <n v="121"/>
    <n v="0"/>
    <n v="0"/>
    <x v="100"/>
    <x v="20"/>
    <x v="15"/>
    <x v="1"/>
    <x v="0"/>
  </r>
  <r>
    <s v=""/>
    <x v="243"/>
    <x v="1"/>
    <x v="1"/>
    <x v="80"/>
    <s v="CS"/>
    <s v="PI-2018016"/>
    <n v="0.875"/>
    <n v="0"/>
    <n v="0.70799999999999996"/>
    <x v="232"/>
    <x v="20"/>
    <x v="15"/>
    <x v="1"/>
    <x v="1"/>
  </r>
  <r>
    <s v=""/>
    <x v="244"/>
    <x v="0"/>
    <x v="0"/>
    <x v="138"/>
    <s v="CS"/>
    <s v="PI-2018022"/>
    <n v="120"/>
    <n v="0"/>
    <n v="0"/>
    <x v="184"/>
    <x v="6"/>
    <x v="10"/>
    <x v="1"/>
    <x v="0"/>
  </r>
  <r>
    <s v=""/>
    <x v="244"/>
    <x v="1"/>
    <x v="4"/>
    <x v="138"/>
    <s v="CS"/>
    <s v="PI-2018022"/>
    <n v="31"/>
    <n v="0"/>
    <n v="0"/>
    <x v="233"/>
    <x v="6"/>
    <x v="10"/>
    <x v="1"/>
    <x v="0"/>
  </r>
  <r>
    <s v=""/>
    <x v="245"/>
    <x v="0"/>
    <x v="0"/>
    <x v="22"/>
    <s v="CS"/>
    <s v="PI-2018023"/>
    <n v="152"/>
    <n v="0"/>
    <n v="0"/>
    <x v="234"/>
    <x v="20"/>
    <x v="7"/>
    <x v="1"/>
    <x v="0"/>
  </r>
  <r>
    <s v=""/>
    <x v="245"/>
    <x v="1"/>
    <x v="1"/>
    <x v="22"/>
    <s v="CS"/>
    <s v="PI-2018009"/>
    <n v="0"/>
    <n v="0"/>
    <n v="2"/>
    <x v="5"/>
    <x v="20"/>
    <x v="25"/>
    <x v="1"/>
    <x v="1"/>
  </r>
  <r>
    <s v=""/>
    <x v="245"/>
    <x v="1"/>
    <x v="1"/>
    <x v="22"/>
    <s v="CS"/>
    <s v="PI-2018016"/>
    <n v="0"/>
    <n v="0"/>
    <n v="0.20799999999999999"/>
    <x v="235"/>
    <x v="20"/>
    <x v="15"/>
    <x v="1"/>
    <x v="1"/>
  </r>
  <r>
    <s v=""/>
    <x v="245"/>
    <x v="1"/>
    <x v="1"/>
    <x v="22"/>
    <s v="CS"/>
    <s v="PI-2018023"/>
    <n v="1.333"/>
    <n v="0"/>
    <n v="0"/>
    <x v="236"/>
    <x v="20"/>
    <x v="7"/>
    <x v="1"/>
    <x v="1"/>
  </r>
  <r>
    <s v=""/>
    <x v="245"/>
    <x v="1"/>
    <x v="2"/>
    <x v="22"/>
    <s v="CS"/>
    <s v="PI-2018023"/>
    <n v="20.832999999999998"/>
    <n v="0"/>
    <n v="0"/>
    <x v="237"/>
    <x v="20"/>
    <x v="7"/>
    <x v="1"/>
    <x v="1"/>
  </r>
  <r>
    <s v=""/>
    <x v="245"/>
    <x v="1"/>
    <x v="3"/>
    <x v="22"/>
    <s v="CS"/>
    <s v="PI-2018023"/>
    <n v="5"/>
    <n v="0"/>
    <n v="0"/>
    <x v="42"/>
    <x v="20"/>
    <x v="7"/>
    <x v="1"/>
    <x v="0"/>
  </r>
  <r>
    <s v=""/>
    <x v="246"/>
    <x v="0"/>
    <x v="0"/>
    <x v="110"/>
    <s v="CS"/>
    <s v="PI-2018023"/>
    <n v="217"/>
    <n v="0"/>
    <n v="0"/>
    <x v="238"/>
    <x v="25"/>
    <x v="7"/>
    <x v="1"/>
    <x v="0"/>
  </r>
  <r>
    <s v=""/>
    <x v="247"/>
    <x v="0"/>
    <x v="0"/>
    <x v="90"/>
    <s v="CS"/>
    <s v="PI-2018014"/>
    <n v="270"/>
    <n v="0"/>
    <n v="0"/>
    <x v="187"/>
    <x v="10"/>
    <x v="16"/>
    <x v="1"/>
    <x v="0"/>
  </r>
  <r>
    <s v=""/>
    <x v="247"/>
    <x v="1"/>
    <x v="4"/>
    <x v="90"/>
    <s v="CS"/>
    <s v="PI-2018014"/>
    <n v="164"/>
    <n v="0"/>
    <n v="0"/>
    <x v="239"/>
    <x v="10"/>
    <x v="16"/>
    <x v="1"/>
    <x v="0"/>
  </r>
  <r>
    <s v=""/>
    <x v="248"/>
    <x v="1"/>
    <x v="4"/>
    <x v="139"/>
    <s v="CS"/>
    <s v="PI-2018021"/>
    <n v="471"/>
    <n v="0"/>
    <n v="0"/>
    <x v="240"/>
    <x v="2"/>
    <x v="3"/>
    <x v="1"/>
    <x v="0"/>
  </r>
  <r>
    <s v=""/>
    <x v="248"/>
    <x v="1"/>
    <x v="3"/>
    <x v="139"/>
    <s v="CS"/>
    <s v="PI-2018021"/>
    <n v="30"/>
    <n v="0"/>
    <n v="0"/>
    <x v="3"/>
    <x v="2"/>
    <x v="3"/>
    <x v="1"/>
    <x v="0"/>
  </r>
  <r>
    <s v=""/>
    <x v="249"/>
    <x v="0"/>
    <x v="0"/>
    <x v="140"/>
    <s v="CS"/>
    <s v="PI-2018013"/>
    <n v="50"/>
    <n v="0"/>
    <n v="0"/>
    <x v="24"/>
    <x v="10"/>
    <x v="11"/>
    <x v="1"/>
    <x v="0"/>
  </r>
  <r>
    <s v=""/>
    <x v="249"/>
    <x v="1"/>
    <x v="4"/>
    <x v="140"/>
    <s v="CS"/>
    <s v="PI-2018013"/>
    <n v="16"/>
    <n v="0"/>
    <n v="0"/>
    <x v="21"/>
    <x v="10"/>
    <x v="11"/>
    <x v="1"/>
    <x v="0"/>
  </r>
  <r>
    <s v=""/>
    <x v="249"/>
    <x v="1"/>
    <x v="3"/>
    <x v="140"/>
    <s v="CS"/>
    <s v="PI-2018013"/>
    <n v="35"/>
    <n v="0"/>
    <n v="0"/>
    <x v="241"/>
    <x v="10"/>
    <x v="11"/>
    <x v="1"/>
    <x v="0"/>
  </r>
  <r>
    <s v=""/>
    <x v="250"/>
    <x v="1"/>
    <x v="4"/>
    <x v="141"/>
    <s v="CS"/>
    <s v="PI-2018020"/>
    <n v="120"/>
    <n v="0"/>
    <n v="0"/>
    <x v="184"/>
    <x v="10"/>
    <x v="12"/>
    <x v="1"/>
    <x v="0"/>
  </r>
  <r>
    <s v=""/>
    <x v="251"/>
    <x v="0"/>
    <x v="0"/>
    <x v="142"/>
    <s v="CS"/>
    <s v="PI-2018017"/>
    <n v="125"/>
    <n v="0"/>
    <n v="0"/>
    <x v="242"/>
    <x v="10"/>
    <x v="8"/>
    <x v="1"/>
    <x v="0"/>
  </r>
  <r>
    <s v=""/>
    <x v="251"/>
    <x v="1"/>
    <x v="3"/>
    <x v="142"/>
    <s v="CS"/>
    <s v="PI-2018017"/>
    <n v="519"/>
    <n v="0"/>
    <n v="0"/>
    <x v="243"/>
    <x v="10"/>
    <x v="8"/>
    <x v="1"/>
    <x v="0"/>
  </r>
  <r>
    <s v=""/>
    <x v="252"/>
    <x v="1"/>
    <x v="1"/>
    <x v="143"/>
    <s v="CS"/>
    <s v="PI-2018012"/>
    <n v="0"/>
    <n v="0"/>
    <n v="1"/>
    <x v="2"/>
    <x v="10"/>
    <x v="20"/>
    <x v="1"/>
    <x v="1"/>
  </r>
  <r>
    <s v=""/>
    <x v="252"/>
    <x v="1"/>
    <x v="3"/>
    <x v="143"/>
    <s v="CS"/>
    <s v="PI-2018012"/>
    <n v="96"/>
    <n v="0"/>
    <n v="0"/>
    <x v="137"/>
    <x v="10"/>
    <x v="20"/>
    <x v="1"/>
    <x v="0"/>
  </r>
  <r>
    <s v=""/>
    <x v="253"/>
    <x v="1"/>
    <x v="4"/>
    <x v="143"/>
    <s v="CS"/>
    <s v="PI-2018022"/>
    <n v="384"/>
    <n v="0"/>
    <n v="0"/>
    <x v="244"/>
    <x v="10"/>
    <x v="10"/>
    <x v="1"/>
    <x v="0"/>
  </r>
  <r>
    <s v=""/>
    <x v="254"/>
    <x v="0"/>
    <x v="0"/>
    <x v="144"/>
    <s v="CS"/>
    <s v="PI-2018020"/>
    <n v="53"/>
    <n v="0"/>
    <n v="0"/>
    <x v="245"/>
    <x v="10"/>
    <x v="12"/>
    <x v="1"/>
    <x v="0"/>
  </r>
  <r>
    <s v=""/>
    <x v="254"/>
    <x v="0"/>
    <x v="0"/>
    <x v="144"/>
    <s v="CS"/>
    <s v="PI-2018021"/>
    <n v="219"/>
    <n v="0"/>
    <n v="0"/>
    <x v="246"/>
    <x v="10"/>
    <x v="3"/>
    <x v="1"/>
    <x v="0"/>
  </r>
  <r>
    <s v=""/>
    <x v="254"/>
    <x v="1"/>
    <x v="4"/>
    <x v="144"/>
    <s v="CS"/>
    <s v="PI-2018020"/>
    <n v="30"/>
    <n v="0"/>
    <n v="0"/>
    <x v="3"/>
    <x v="10"/>
    <x v="12"/>
    <x v="1"/>
    <x v="0"/>
  </r>
  <r>
    <s v=""/>
    <x v="254"/>
    <x v="1"/>
    <x v="4"/>
    <x v="144"/>
    <s v="CS"/>
    <s v="PI-2018021"/>
    <n v="10"/>
    <n v="0"/>
    <n v="0"/>
    <x v="105"/>
    <x v="10"/>
    <x v="3"/>
    <x v="1"/>
    <x v="0"/>
  </r>
  <r>
    <s v=""/>
    <x v="254"/>
    <x v="1"/>
    <x v="1"/>
    <x v="144"/>
    <s v="CS"/>
    <s v="PI-2018013"/>
    <n v="0"/>
    <n v="0"/>
    <n v="1"/>
    <x v="2"/>
    <x v="10"/>
    <x v="11"/>
    <x v="1"/>
    <x v="1"/>
  </r>
  <r>
    <s v=""/>
    <x v="254"/>
    <x v="1"/>
    <x v="3"/>
    <x v="144"/>
    <s v="CS"/>
    <s v="PI-2018021"/>
    <n v="1"/>
    <n v="0"/>
    <n v="0"/>
    <x v="2"/>
    <x v="10"/>
    <x v="3"/>
    <x v="1"/>
    <x v="0"/>
  </r>
  <r>
    <s v=""/>
    <x v="255"/>
    <x v="1"/>
    <x v="4"/>
    <x v="145"/>
    <s v="CS"/>
    <s v="PI-2018023"/>
    <n v="211"/>
    <n v="0"/>
    <n v="0"/>
    <x v="247"/>
    <x v="2"/>
    <x v="7"/>
    <x v="1"/>
    <x v="0"/>
  </r>
  <r>
    <s v=""/>
    <x v="256"/>
    <x v="1"/>
    <x v="5"/>
    <x v="146"/>
    <s v="CS"/>
    <s v="PI-2018023"/>
    <n v="554"/>
    <n v="0"/>
    <n v="0"/>
    <x v="248"/>
    <x v="2"/>
    <x v="7"/>
    <x v="1"/>
    <x v="1"/>
  </r>
  <r>
    <s v=""/>
    <x v="257"/>
    <x v="0"/>
    <x v="0"/>
    <x v="147"/>
    <s v="CS"/>
    <s v="PI-2018021"/>
    <n v="1"/>
    <n v="0"/>
    <n v="0"/>
    <x v="2"/>
    <x v="26"/>
    <x v="3"/>
    <x v="1"/>
    <x v="0"/>
  </r>
  <r>
    <s v=""/>
    <x v="258"/>
    <x v="0"/>
    <x v="0"/>
    <x v="147"/>
    <s v="CS"/>
    <s v="PI-2018018"/>
    <n v="1"/>
    <n v="0"/>
    <n v="0"/>
    <x v="2"/>
    <x v="14"/>
    <x v="1"/>
    <x v="1"/>
    <x v="0"/>
  </r>
  <r>
    <s v=""/>
    <x v="258"/>
    <x v="1"/>
    <x v="4"/>
    <x v="147"/>
    <s v="CS"/>
    <s v="PI-2018021"/>
    <n v="48"/>
    <n v="0"/>
    <n v="0"/>
    <x v="10"/>
    <x v="14"/>
    <x v="3"/>
    <x v="1"/>
    <x v="0"/>
  </r>
  <r>
    <s v=""/>
    <x v="259"/>
    <x v="1"/>
    <x v="7"/>
    <x v="148"/>
    <s v="CS"/>
    <s v="PI-2018004"/>
    <n v="0"/>
    <n v="0"/>
    <n v="80"/>
    <x v="77"/>
    <x v="11"/>
    <x v="6"/>
    <x v="1"/>
    <x v="2"/>
  </r>
  <r>
    <s v=""/>
    <x v="259"/>
    <x v="1"/>
    <x v="2"/>
    <x v="148"/>
    <s v="CS"/>
    <s v="PI-2018004"/>
    <n v="0"/>
    <n v="20"/>
    <n v="0"/>
    <x v="22"/>
    <x v="11"/>
    <x v="6"/>
    <x v="1"/>
    <x v="1"/>
  </r>
  <r>
    <s v=""/>
    <x v="260"/>
    <x v="1"/>
    <x v="2"/>
    <x v="148"/>
    <s v="CS"/>
    <s v="PI-2018008"/>
    <n v="2"/>
    <n v="48"/>
    <n v="0"/>
    <x v="24"/>
    <x v="11"/>
    <x v="31"/>
    <x v="1"/>
    <x v="1"/>
  </r>
  <r>
    <s v=""/>
    <x v="261"/>
    <x v="0"/>
    <x v="8"/>
    <x v="148"/>
    <s v="CS"/>
    <s v="PI-2018015"/>
    <n v="1"/>
    <n v="0"/>
    <n v="0"/>
    <x v="2"/>
    <x v="11"/>
    <x v="5"/>
    <x v="1"/>
    <x v="2"/>
  </r>
  <r>
    <s v=""/>
    <x v="261"/>
    <x v="0"/>
    <x v="8"/>
    <x v="148"/>
    <s v="CS"/>
    <s v="PI-2018016"/>
    <n v="1"/>
    <n v="0"/>
    <n v="0"/>
    <x v="2"/>
    <x v="11"/>
    <x v="15"/>
    <x v="1"/>
    <x v="2"/>
  </r>
  <r>
    <s v=""/>
    <x v="261"/>
    <x v="0"/>
    <x v="8"/>
    <x v="148"/>
    <s v="CS"/>
    <s v="PI-2018017"/>
    <n v="34"/>
    <n v="0"/>
    <n v="0"/>
    <x v="216"/>
    <x v="11"/>
    <x v="8"/>
    <x v="1"/>
    <x v="2"/>
  </r>
  <r>
    <s v=""/>
    <x v="261"/>
    <x v="0"/>
    <x v="8"/>
    <x v="148"/>
    <s v="CS"/>
    <s v="PI-2018018"/>
    <n v="3"/>
    <n v="0"/>
    <n v="0"/>
    <x v="4"/>
    <x v="11"/>
    <x v="1"/>
    <x v="1"/>
    <x v="2"/>
  </r>
  <r>
    <s v=""/>
    <x v="261"/>
    <x v="0"/>
    <x v="8"/>
    <x v="148"/>
    <s v="CS"/>
    <s v="PI-2018023"/>
    <n v="30"/>
    <n v="0"/>
    <n v="0"/>
    <x v="3"/>
    <x v="11"/>
    <x v="7"/>
    <x v="1"/>
    <x v="2"/>
  </r>
  <r>
    <s v=""/>
    <x v="261"/>
    <x v="1"/>
    <x v="7"/>
    <x v="148"/>
    <s v="CS"/>
    <s v="PI-2018011"/>
    <n v="0"/>
    <n v="0.878"/>
    <n v="0"/>
    <x v="249"/>
    <x v="11"/>
    <x v="9"/>
    <x v="1"/>
    <x v="2"/>
  </r>
  <r>
    <s v=""/>
    <x v="261"/>
    <x v="1"/>
    <x v="7"/>
    <x v="148"/>
    <s v="CS"/>
    <s v="PI-2018012"/>
    <n v="0"/>
    <n v="2.59"/>
    <n v="0"/>
    <x v="250"/>
    <x v="11"/>
    <x v="20"/>
    <x v="1"/>
    <x v="2"/>
  </r>
  <r>
    <s v=""/>
    <x v="261"/>
    <x v="1"/>
    <x v="7"/>
    <x v="148"/>
    <s v="CS"/>
    <s v="PI-2018015"/>
    <n v="0"/>
    <n v="2.1139999999999999"/>
    <n v="0"/>
    <x v="251"/>
    <x v="11"/>
    <x v="5"/>
    <x v="1"/>
    <x v="2"/>
  </r>
  <r>
    <s v=""/>
    <x v="261"/>
    <x v="1"/>
    <x v="7"/>
    <x v="148"/>
    <s v="CS"/>
    <s v="PI-2018016"/>
    <n v="0"/>
    <n v="2.7519999999999998"/>
    <n v="0"/>
    <x v="252"/>
    <x v="11"/>
    <x v="15"/>
    <x v="1"/>
    <x v="2"/>
  </r>
  <r>
    <s v=""/>
    <x v="261"/>
    <x v="1"/>
    <x v="7"/>
    <x v="148"/>
    <s v="CS"/>
    <s v="PI-2018017"/>
    <n v="0"/>
    <n v="2.8940000000000001"/>
    <n v="0"/>
    <x v="253"/>
    <x v="11"/>
    <x v="8"/>
    <x v="1"/>
    <x v="2"/>
  </r>
  <r>
    <s v=""/>
    <x v="261"/>
    <x v="1"/>
    <x v="7"/>
    <x v="148"/>
    <s v="CS"/>
    <s v="PI-2018018"/>
    <n v="0"/>
    <n v="1.004"/>
    <n v="0"/>
    <x v="254"/>
    <x v="11"/>
    <x v="1"/>
    <x v="1"/>
    <x v="2"/>
  </r>
  <r>
    <s v=""/>
    <x v="261"/>
    <x v="1"/>
    <x v="7"/>
    <x v="148"/>
    <s v="CS"/>
    <s v="PI-2018023"/>
    <n v="0"/>
    <n v="0.97399999999999998"/>
    <n v="0"/>
    <x v="255"/>
    <x v="11"/>
    <x v="7"/>
    <x v="1"/>
    <x v="2"/>
  </r>
  <r>
    <s v=""/>
    <x v="261"/>
    <x v="1"/>
    <x v="5"/>
    <x v="148"/>
    <s v="CS"/>
    <s v="PI-2018015"/>
    <n v="1"/>
    <n v="0"/>
    <n v="0"/>
    <x v="2"/>
    <x v="11"/>
    <x v="5"/>
    <x v="1"/>
    <x v="1"/>
  </r>
  <r>
    <s v=""/>
    <x v="261"/>
    <x v="1"/>
    <x v="5"/>
    <x v="148"/>
    <s v="CS"/>
    <s v="PI-2018023"/>
    <n v="582"/>
    <n v="0"/>
    <n v="0"/>
    <x v="256"/>
    <x v="11"/>
    <x v="7"/>
    <x v="1"/>
    <x v="1"/>
  </r>
  <r>
    <s v=""/>
    <x v="262"/>
    <x v="1"/>
    <x v="2"/>
    <x v="149"/>
    <s v="CS"/>
    <s v="PI-2018017"/>
    <n v="1"/>
    <n v="0"/>
    <n v="0"/>
    <x v="2"/>
    <x v="19"/>
    <x v="8"/>
    <x v="1"/>
    <x v="1"/>
  </r>
  <r>
    <s v=""/>
    <x v="263"/>
    <x v="0"/>
    <x v="0"/>
    <x v="136"/>
    <s v="CS"/>
    <s v="PI-2018023"/>
    <n v="433"/>
    <n v="0"/>
    <n v="0"/>
    <x v="257"/>
    <x v="27"/>
    <x v="7"/>
    <x v="1"/>
    <x v="0"/>
  </r>
  <r>
    <s v=""/>
    <x v="263"/>
    <x v="1"/>
    <x v="4"/>
    <x v="136"/>
    <s v="CS"/>
    <s v="PI-2018023"/>
    <n v="14"/>
    <n v="0"/>
    <n v="0"/>
    <x v="0"/>
    <x v="27"/>
    <x v="7"/>
    <x v="1"/>
    <x v="0"/>
  </r>
  <r>
    <s v=""/>
    <x v="263"/>
    <x v="1"/>
    <x v="1"/>
    <x v="136"/>
    <s v="CS"/>
    <s v="PI-2018006"/>
    <n v="0"/>
    <n v="0"/>
    <n v="1"/>
    <x v="2"/>
    <x v="27"/>
    <x v="35"/>
    <x v="1"/>
    <x v="1"/>
  </r>
  <r>
    <s v=""/>
    <x v="263"/>
    <x v="1"/>
    <x v="2"/>
    <x v="136"/>
    <s v="CS"/>
    <s v="PI-2018023"/>
    <n v="1"/>
    <n v="0"/>
    <n v="0"/>
    <x v="2"/>
    <x v="27"/>
    <x v="7"/>
    <x v="1"/>
    <x v="1"/>
  </r>
  <r>
    <s v=""/>
    <x v="264"/>
    <x v="1"/>
    <x v="1"/>
    <x v="150"/>
    <s v="CS"/>
    <s v="PI-2018015"/>
    <n v="0"/>
    <n v="0"/>
    <n v="1"/>
    <x v="2"/>
    <x v="27"/>
    <x v="5"/>
    <x v="1"/>
    <x v="1"/>
  </r>
  <r>
    <s v=""/>
    <x v="265"/>
    <x v="0"/>
    <x v="0"/>
    <x v="25"/>
    <s v="CS"/>
    <s v="PI-2018022"/>
    <n v="77"/>
    <n v="0"/>
    <n v="0"/>
    <x v="258"/>
    <x v="27"/>
    <x v="10"/>
    <x v="1"/>
    <x v="0"/>
  </r>
  <r>
    <s v=""/>
    <x v="265"/>
    <x v="1"/>
    <x v="4"/>
    <x v="25"/>
    <s v="CS"/>
    <s v="PI-2018022"/>
    <n v="15"/>
    <n v="0"/>
    <n v="0"/>
    <x v="44"/>
    <x v="27"/>
    <x v="10"/>
    <x v="1"/>
    <x v="0"/>
  </r>
  <r>
    <s v=""/>
    <x v="265"/>
    <x v="1"/>
    <x v="2"/>
    <x v="25"/>
    <s v="CS"/>
    <s v="PI-2018007"/>
    <n v="0"/>
    <n v="3"/>
    <n v="0"/>
    <x v="4"/>
    <x v="27"/>
    <x v="32"/>
    <x v="1"/>
    <x v="1"/>
  </r>
  <r>
    <s v=""/>
    <x v="266"/>
    <x v="0"/>
    <x v="0"/>
    <x v="24"/>
    <s v="CS"/>
    <s v="PI-2018006"/>
    <n v="3"/>
    <n v="0"/>
    <n v="0"/>
    <x v="4"/>
    <x v="27"/>
    <x v="35"/>
    <x v="1"/>
    <x v="0"/>
  </r>
  <r>
    <s v=""/>
    <x v="267"/>
    <x v="0"/>
    <x v="0"/>
    <x v="42"/>
    <s v="CS"/>
    <s v="PI-2018007"/>
    <n v="96"/>
    <n v="0"/>
    <n v="0"/>
    <x v="137"/>
    <x v="27"/>
    <x v="32"/>
    <x v="1"/>
    <x v="0"/>
  </r>
  <r>
    <s v=""/>
    <x v="267"/>
    <x v="1"/>
    <x v="1"/>
    <x v="42"/>
    <s v="CS"/>
    <s v="PI-2018004"/>
    <n v="1"/>
    <n v="0"/>
    <n v="0"/>
    <x v="2"/>
    <x v="27"/>
    <x v="6"/>
    <x v="1"/>
    <x v="1"/>
  </r>
  <r>
    <s v=""/>
    <x v="267"/>
    <x v="1"/>
    <x v="1"/>
    <x v="42"/>
    <s v="CS"/>
    <s v="PI-2018006"/>
    <n v="0"/>
    <n v="0"/>
    <n v="1"/>
    <x v="2"/>
    <x v="27"/>
    <x v="35"/>
    <x v="1"/>
    <x v="1"/>
  </r>
  <r>
    <s v=""/>
    <x v="268"/>
    <x v="1"/>
    <x v="4"/>
    <x v="27"/>
    <s v="CS"/>
    <s v="PI-2018009"/>
    <n v="93"/>
    <n v="0"/>
    <n v="0"/>
    <x v="181"/>
    <x v="27"/>
    <x v="25"/>
    <x v="1"/>
    <x v="0"/>
  </r>
  <r>
    <s v=""/>
    <x v="268"/>
    <x v="1"/>
    <x v="1"/>
    <x v="27"/>
    <s v="CS"/>
    <s v="PI-2018009"/>
    <n v="2"/>
    <n v="0"/>
    <n v="0"/>
    <x v="5"/>
    <x v="27"/>
    <x v="25"/>
    <x v="1"/>
    <x v="1"/>
  </r>
  <r>
    <s v=""/>
    <x v="268"/>
    <x v="1"/>
    <x v="3"/>
    <x v="27"/>
    <s v="CS"/>
    <s v="PI-2018009"/>
    <n v="90"/>
    <n v="0"/>
    <n v="0"/>
    <x v="39"/>
    <x v="27"/>
    <x v="25"/>
    <x v="1"/>
    <x v="0"/>
  </r>
  <r>
    <s v=""/>
    <x v="269"/>
    <x v="1"/>
    <x v="4"/>
    <x v="82"/>
    <s v="CS"/>
    <s v="PI-2018004"/>
    <n v="7"/>
    <n v="0"/>
    <n v="0"/>
    <x v="26"/>
    <x v="27"/>
    <x v="6"/>
    <x v="1"/>
    <x v="0"/>
  </r>
  <r>
    <s v=""/>
    <x v="269"/>
    <x v="1"/>
    <x v="4"/>
    <x v="82"/>
    <s v="CS"/>
    <s v="PI-2018006"/>
    <n v="43"/>
    <n v="0"/>
    <n v="0"/>
    <x v="96"/>
    <x v="27"/>
    <x v="35"/>
    <x v="1"/>
    <x v="0"/>
  </r>
  <r>
    <s v=""/>
    <x v="270"/>
    <x v="0"/>
    <x v="0"/>
    <x v="78"/>
    <s v="CS"/>
    <s v="PI-2018023"/>
    <n v="76"/>
    <n v="0"/>
    <n v="0"/>
    <x v="259"/>
    <x v="27"/>
    <x v="7"/>
    <x v="1"/>
    <x v="0"/>
  </r>
  <r>
    <s v=""/>
    <x v="270"/>
    <x v="1"/>
    <x v="4"/>
    <x v="78"/>
    <s v="CS"/>
    <s v="PI-2018023"/>
    <n v="15"/>
    <n v="0"/>
    <n v="0"/>
    <x v="44"/>
    <x v="27"/>
    <x v="7"/>
    <x v="1"/>
    <x v="0"/>
  </r>
  <r>
    <s v=""/>
    <x v="271"/>
    <x v="1"/>
    <x v="1"/>
    <x v="136"/>
    <s v="CS"/>
    <s v="PI-2018014"/>
    <n v="0.41699999999999998"/>
    <n v="0"/>
    <n v="0"/>
    <x v="260"/>
    <x v="16"/>
    <x v="16"/>
    <x v="1"/>
    <x v="1"/>
  </r>
  <r>
    <s v=""/>
    <x v="271"/>
    <x v="1"/>
    <x v="3"/>
    <x v="136"/>
    <s v="CS"/>
    <s v="PI-2018014"/>
    <n v="5"/>
    <n v="0"/>
    <n v="0"/>
    <x v="42"/>
    <x v="16"/>
    <x v="16"/>
    <x v="1"/>
    <x v="0"/>
  </r>
  <r>
    <s v=""/>
    <x v="272"/>
    <x v="0"/>
    <x v="0"/>
    <x v="110"/>
    <s v="CS"/>
    <s v="PI-2018017"/>
    <n v="2"/>
    <n v="0"/>
    <n v="0"/>
    <x v="5"/>
    <x v="20"/>
    <x v="8"/>
    <x v="1"/>
    <x v="0"/>
  </r>
  <r>
    <s v=""/>
    <x v="272"/>
    <x v="0"/>
    <x v="0"/>
    <x v="110"/>
    <s v="CS"/>
    <s v="PI-2018019"/>
    <n v="51"/>
    <n v="0"/>
    <n v="0"/>
    <x v="34"/>
    <x v="20"/>
    <x v="4"/>
    <x v="1"/>
    <x v="0"/>
  </r>
  <r>
    <s v=""/>
    <x v="272"/>
    <x v="1"/>
    <x v="1"/>
    <x v="110"/>
    <s v="CS"/>
    <s v="PI-2018012"/>
    <n v="0"/>
    <n v="0"/>
    <n v="0.33300000000000002"/>
    <x v="261"/>
    <x v="20"/>
    <x v="20"/>
    <x v="1"/>
    <x v="1"/>
  </r>
  <r>
    <s v=""/>
    <x v="272"/>
    <x v="1"/>
    <x v="1"/>
    <x v="110"/>
    <s v="CS"/>
    <s v="PI-2018017"/>
    <n v="1.042"/>
    <n v="0"/>
    <n v="0"/>
    <x v="262"/>
    <x v="20"/>
    <x v="8"/>
    <x v="1"/>
    <x v="1"/>
  </r>
  <r>
    <s v=""/>
    <x v="272"/>
    <x v="1"/>
    <x v="1"/>
    <x v="110"/>
    <s v="CS"/>
    <s v="PI-2018019"/>
    <n v="0.25"/>
    <n v="0"/>
    <n v="0"/>
    <x v="263"/>
    <x v="20"/>
    <x v="4"/>
    <x v="1"/>
    <x v="1"/>
  </r>
  <r>
    <s v=""/>
    <x v="272"/>
    <x v="1"/>
    <x v="3"/>
    <x v="110"/>
    <s v="CS"/>
    <s v="PI-2018019"/>
    <n v="5"/>
    <n v="0"/>
    <n v="0"/>
    <x v="42"/>
    <x v="20"/>
    <x v="4"/>
    <x v="1"/>
    <x v="0"/>
  </r>
  <r>
    <s v=""/>
    <x v="273"/>
    <x v="0"/>
    <x v="0"/>
    <x v="151"/>
    <s v="CS"/>
    <s v="PI-2018021"/>
    <n v="150"/>
    <n v="0"/>
    <n v="0"/>
    <x v="210"/>
    <x v="18"/>
    <x v="3"/>
    <x v="1"/>
    <x v="0"/>
  </r>
  <r>
    <s v=""/>
    <x v="274"/>
    <x v="1"/>
    <x v="4"/>
    <x v="103"/>
    <s v="CS"/>
    <s v="PI-2018013"/>
    <n v="142"/>
    <n v="0"/>
    <n v="0"/>
    <x v="264"/>
    <x v="10"/>
    <x v="11"/>
    <x v="1"/>
    <x v="0"/>
  </r>
  <r>
    <s v=""/>
    <x v="274"/>
    <x v="1"/>
    <x v="4"/>
    <x v="103"/>
    <s v="CS"/>
    <s v="PI-2018016"/>
    <n v="130"/>
    <n v="0"/>
    <n v="0"/>
    <x v="265"/>
    <x v="10"/>
    <x v="15"/>
    <x v="1"/>
    <x v="0"/>
  </r>
  <r>
    <s v=""/>
    <x v="275"/>
    <x v="1"/>
    <x v="5"/>
    <x v="26"/>
    <s v="CS"/>
    <s v="PI-2018023"/>
    <n v="144"/>
    <n v="0"/>
    <n v="0"/>
    <x v="93"/>
    <x v="25"/>
    <x v="7"/>
    <x v="1"/>
    <x v="1"/>
  </r>
  <r>
    <s v=""/>
    <x v="276"/>
    <x v="0"/>
    <x v="0"/>
    <x v="71"/>
    <s v="CS"/>
    <s v="PI-2018020"/>
    <n v="1"/>
    <n v="0"/>
    <n v="0"/>
    <x v="2"/>
    <x v="25"/>
    <x v="12"/>
    <x v="1"/>
    <x v="0"/>
  </r>
  <r>
    <s v=""/>
    <x v="277"/>
    <x v="0"/>
    <x v="0"/>
    <x v="130"/>
    <s v="CS"/>
    <s v="PI-2018020"/>
    <n v="102"/>
    <n v="0"/>
    <n v="0"/>
    <x v="159"/>
    <x v="28"/>
    <x v="12"/>
    <x v="1"/>
    <x v="0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  <r>
    <m/>
    <x v="278"/>
    <x v="2"/>
    <x v="10"/>
    <x v="152"/>
    <m/>
    <m/>
    <m/>
    <m/>
    <m/>
    <x v="266"/>
    <x v="29"/>
    <x v="40"/>
    <x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compact="0" compactData="0" multipleFieldFilters="0">
  <location ref="A62:H70" firstHeaderRow="0" firstDataRow="1" firstDataCol="5" rowPageCount="1" colPageCount="1"/>
  <pivotFields count="15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289">
        <item x="97"/>
        <item x="1"/>
        <item x="99"/>
        <item x="98"/>
        <item m="1" x="235"/>
        <item x="100"/>
        <item m="1" x="286"/>
        <item m="1" x="275"/>
        <item x="7"/>
        <item x="18"/>
        <item x="6"/>
        <item x="19"/>
        <item x="77"/>
        <item x="5"/>
        <item x="20"/>
        <item m="1" x="247"/>
        <item x="35"/>
        <item x="85"/>
        <item x="46"/>
        <item m="1" x="256"/>
        <item x="49"/>
        <item x="119"/>
        <item x="118"/>
        <item m="1" x="284"/>
        <item m="1" x="214"/>
        <item m="1" x="230"/>
        <item m="1" x="285"/>
        <item m="1" x="215"/>
        <item m="1" x="231"/>
        <item x="86"/>
        <item x="120"/>
        <item m="1" x="253"/>
        <item m="1" x="254"/>
        <item m="1" x="276"/>
        <item x="47"/>
        <item m="1" x="157"/>
        <item m="1" x="255"/>
        <item x="34"/>
        <item x="84"/>
        <item m="1" x="259"/>
        <item x="45"/>
        <item m="1" x="278"/>
        <item m="1" x="268"/>
        <item m="1" x="234"/>
        <item x="43"/>
        <item m="1" x="204"/>
        <item x="44"/>
        <item m="1" x="257"/>
        <item m="1" x="233"/>
        <item x="14"/>
        <item m="1" x="238"/>
        <item x="40"/>
        <item m="1" x="159"/>
        <item m="1" x="199"/>
        <item m="1" x="170"/>
        <item m="1" x="158"/>
        <item x="12"/>
        <item x="88"/>
        <item x="107"/>
        <item m="1" x="171"/>
        <item x="41"/>
        <item x="48"/>
        <item x="111"/>
        <item x="127"/>
        <item m="1" x="260"/>
        <item x="109"/>
        <item m="1" x="280"/>
        <item m="1" x="177"/>
        <item m="1" x="189"/>
        <item x="81"/>
        <item m="1" x="277"/>
        <item m="1" x="245"/>
        <item x="38"/>
        <item m="1" x="288"/>
        <item m="1" x="154"/>
        <item x="8"/>
        <item m="1" x="272"/>
        <item m="1" x="246"/>
        <item m="1" x="208"/>
        <item x="39"/>
        <item m="1" x="175"/>
        <item m="1" x="258"/>
        <item m="1" x="209"/>
        <item m="1" x="210"/>
        <item x="11"/>
        <item x="89"/>
        <item x="87"/>
        <item m="1" x="172"/>
        <item x="130"/>
        <item x="106"/>
        <item m="1" x="191"/>
        <item m="1" x="186"/>
        <item x="33"/>
        <item m="1" x="263"/>
        <item m="1" x="237"/>
        <item m="1" x="165"/>
        <item m="1" x="202"/>
        <item x="28"/>
        <item m="1" x="160"/>
        <item m="1" x="248"/>
        <item m="1" x="279"/>
        <item x="74"/>
        <item x="59"/>
        <item x="62"/>
        <item x="60"/>
        <item m="1" x="201"/>
        <item m="1" x="203"/>
        <item m="1" x="168"/>
        <item x="66"/>
        <item x="67"/>
        <item x="103"/>
        <item x="134"/>
        <item x="22"/>
        <item x="21"/>
        <item x="31"/>
        <item m="1" x="166"/>
        <item m="1" x="185"/>
        <item m="1" x="222"/>
        <item m="1" x="206"/>
        <item m="1" x="242"/>
        <item m="1" x="182"/>
        <item m="1" x="219"/>
        <item x="115"/>
        <item m="1" x="216"/>
        <item m="1" x="176"/>
        <item x="114"/>
        <item m="1" x="194"/>
        <item x="137"/>
        <item x="82"/>
        <item x="75"/>
        <item m="1" x="195"/>
        <item m="1" x="232"/>
        <item x="32"/>
        <item x="24"/>
        <item m="1" x="200"/>
        <item x="73"/>
        <item m="1" x="161"/>
        <item x="83"/>
        <item m="1" x="226"/>
        <item x="37"/>
        <item x="42"/>
        <item x="113"/>
        <item m="1" x="269"/>
        <item x="70"/>
        <item x="69"/>
        <item x="29"/>
        <item x="30"/>
        <item m="1" x="283"/>
        <item m="1" x="225"/>
        <item x="101"/>
        <item m="1" x="282"/>
        <item x="90"/>
        <item m="1" x="251"/>
        <item x="104"/>
        <item x="110"/>
        <item x="124"/>
        <item m="1" x="162"/>
        <item x="13"/>
        <item m="1" x="212"/>
        <item m="1" x="183"/>
        <item m="1" x="223"/>
        <item m="1" x="207"/>
        <item m="1" x="271"/>
        <item x="71"/>
        <item x="27"/>
        <item x="112"/>
        <item m="1" x="224"/>
        <item x="10"/>
        <item x="36"/>
        <item m="1" x="198"/>
        <item m="1" x="270"/>
        <item m="1" x="181"/>
        <item x="117"/>
        <item m="1" x="163"/>
        <item x="23"/>
        <item m="1" x="196"/>
        <item m="1" x="167"/>
        <item m="1" x="239"/>
        <item m="1" x="184"/>
        <item x="72"/>
        <item m="1" x="227"/>
        <item m="1" x="241"/>
        <item m="1" x="220"/>
        <item m="1" x="240"/>
        <item x="80"/>
        <item x="79"/>
        <item x="9"/>
        <item m="1" x="211"/>
        <item x="92"/>
        <item x="96"/>
        <item x="50"/>
        <item x="102"/>
        <item m="1" x="244"/>
        <item m="1" x="164"/>
        <item m="1" x="155"/>
        <item m="1" x="197"/>
        <item x="26"/>
        <item m="1" x="221"/>
        <item m="1" x="266"/>
        <item m="1" x="262"/>
        <item m="1" x="250"/>
        <item m="1" x="229"/>
        <item m="1" x="267"/>
        <item m="1" x="192"/>
        <item m="1" x="264"/>
        <item m="1" x="187"/>
        <item m="1" x="217"/>
        <item m="1" x="281"/>
        <item m="1" x="261"/>
        <item m="1" x="156"/>
        <item m="1" x="173"/>
        <item m="1" x="273"/>
        <item m="1" x="178"/>
        <item m="1" x="190"/>
        <item m="1" x="193"/>
        <item m="1" x="265"/>
        <item m="1" x="180"/>
        <item m="1" x="188"/>
        <item m="1" x="218"/>
        <item m="1" x="274"/>
        <item x="4"/>
        <item x="3"/>
        <item x="105"/>
        <item m="1" x="243"/>
        <item m="1" x="249"/>
        <item x="122"/>
        <item m="1" x="228"/>
        <item m="1" x="169"/>
        <item x="123"/>
        <item m="1" x="287"/>
        <item x="0"/>
        <item x="2"/>
        <item x="121"/>
        <item m="1" x="205"/>
        <item m="1" x="236"/>
        <item m="1" x="174"/>
        <item m="1" x="179"/>
        <item x="51"/>
        <item x="52"/>
        <item m="1" x="252"/>
        <item x="63"/>
        <item x="64"/>
        <item x="93"/>
        <item x="94"/>
        <item x="125"/>
        <item x="126"/>
        <item x="135"/>
        <item x="151"/>
        <item x="140"/>
        <item x="141"/>
        <item x="142"/>
        <item x="143"/>
        <item x="144"/>
        <item m="1" x="213"/>
        <item x="147"/>
        <item x="148"/>
        <item m="1" x="153"/>
        <item x="152"/>
        <item x="15"/>
        <item x="16"/>
        <item x="17"/>
        <item x="25"/>
        <item x="53"/>
        <item x="54"/>
        <item x="55"/>
        <item x="56"/>
        <item x="57"/>
        <item x="58"/>
        <item x="61"/>
        <item x="65"/>
        <item x="68"/>
        <item x="76"/>
        <item x="78"/>
        <item x="91"/>
        <item x="95"/>
        <item x="108"/>
        <item x="116"/>
        <item x="128"/>
        <item x="129"/>
        <item x="131"/>
        <item x="132"/>
        <item x="133"/>
        <item x="136"/>
        <item x="138"/>
        <item x="139"/>
        <item x="145"/>
        <item x="146"/>
        <item x="149"/>
        <item x="150"/>
      </items>
    </pivotField>
    <pivotField compact="0" outline="0" showAll="0"/>
    <pivotField compact="0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axis="axisRow" compact="0" numFmtId="164" outline="0" showAll="0" defaultSubtotal="0">
      <items count="625">
        <item h="1" m="1" x="267"/>
        <item m="1" x="599"/>
        <item m="1" x="548"/>
        <item x="75"/>
        <item m="1" x="529"/>
        <item x="110"/>
        <item m="1" x="447"/>
        <item m="1" x="343"/>
        <item x="2"/>
        <item m="1" x="568"/>
        <item m="1" x="282"/>
        <item m="1" x="379"/>
        <item m="1" x="600"/>
        <item m="1" x="580"/>
        <item x="69"/>
        <item m="1" x="565"/>
        <item m="1" x="557"/>
        <item m="1" x="415"/>
        <item m="1" x="461"/>
        <item m="1" x="289"/>
        <item m="1" x="402"/>
        <item m="1" x="358"/>
        <item x="105"/>
        <item m="1" x="596"/>
        <item m="1" x="492"/>
        <item m="1" x="398"/>
        <item m="1" x="339"/>
        <item m="1" x="541"/>
        <item x="22"/>
        <item m="1" x="298"/>
        <item m="1" x="573"/>
        <item m="1" x="471"/>
        <item m="1" x="326"/>
        <item x="3"/>
        <item m="1" x="469"/>
        <item m="1" x="486"/>
        <item m="1" x="490"/>
        <item m="1" x="309"/>
        <item m="1" x="383"/>
        <item m="1" x="526"/>
        <item m="1" x="574"/>
        <item x="131"/>
        <item m="1" x="620"/>
        <item m="1" x="458"/>
        <item x="10"/>
        <item x="24"/>
        <item m="1" x="449"/>
        <item x="6"/>
        <item m="1" x="390"/>
        <item m="1" x="531"/>
        <item m="1" x="287"/>
        <item m="1" x="553"/>
        <item x="77"/>
        <item m="1" x="579"/>
        <item x="39"/>
        <item m="1" x="575"/>
        <item m="1" x="621"/>
        <item x="143"/>
        <item m="1" x="616"/>
        <item x="184"/>
        <item x="265"/>
        <item m="1" x="378"/>
        <item m="1" x="424"/>
        <item x="210"/>
        <item m="1" x="324"/>
        <item m="1" x="535"/>
        <item x="214"/>
        <item x="166"/>
        <item x="65"/>
        <item m="1" x="567"/>
        <item m="1" x="435"/>
        <item x="130"/>
        <item m="1" x="340"/>
        <item m="1" x="544"/>
        <item x="92"/>
        <item m="1" x="521"/>
        <item m="1" x="277"/>
        <item m="1" x="320"/>
        <item x="156"/>
        <item m="1" x="602"/>
        <item m="1" x="364"/>
        <item x="27"/>
        <item m="1" x="572"/>
        <item m="1" x="334"/>
        <item m="1" x="410"/>
        <item x="228"/>
        <item m="1" x="278"/>
        <item m="1" x="498"/>
        <item m="1" x="362"/>
        <item m="1" x="509"/>
        <item m="1" x="286"/>
        <item m="1" x="344"/>
        <item m="1" x="409"/>
        <item m="1" x="456"/>
        <item x="63"/>
        <item m="1" x="375"/>
        <item m="1" x="483"/>
        <item m="1" x="581"/>
        <item m="1" x="285"/>
        <item m="1" x="407"/>
        <item m="1" x="455"/>
        <item m="1" x="615"/>
        <item m="1" x="622"/>
        <item x="91"/>
        <item m="1" x="406"/>
        <item m="1" x="454"/>
        <item m="1" x="466"/>
        <item m="1" x="614"/>
        <item m="1" x="480"/>
        <item m="1" x="525"/>
        <item m="1" x="604"/>
        <item m="1" x="416"/>
        <item m="1" x="505"/>
        <item m="1" x="314"/>
        <item m="1" x="426"/>
        <item m="1" x="479"/>
        <item m="1" x="524"/>
        <item m="1" x="561"/>
        <item m="1" x="589"/>
        <item m="1" x="295"/>
        <item m="1" x="386"/>
        <item m="1" x="465"/>
        <item m="1" x="488"/>
        <item m="1" x="294"/>
        <item m="1" x="433"/>
        <item m="1" x="464"/>
        <item m="1" x="411"/>
        <item m="1" x="463"/>
        <item m="1" x="318"/>
        <item m="1" x="350"/>
        <item m="1" x="414"/>
        <item m="1" x="462"/>
        <item m="1" x="382"/>
        <item m="1" x="413"/>
        <item m="1" x="511"/>
        <item m="1" x="532"/>
        <item m="1" x="510"/>
        <item m="1" x="582"/>
        <item m="1" x="290"/>
        <item m="1" x="347"/>
        <item m="1" x="381"/>
        <item m="1" x="332"/>
        <item m="1" x="601"/>
        <item m="1" x="442"/>
        <item m="1" x="273"/>
        <item m="1" x="315"/>
        <item m="1" x="395"/>
        <item m="1" x="441"/>
        <item m="1" x="304"/>
        <item m="1" x="496"/>
        <item m="1" x="359"/>
        <item m="1" x="473"/>
        <item m="1" x="330"/>
        <item m="1" x="440"/>
        <item m="1" x="272"/>
        <item m="1" x="472"/>
        <item m="1" x="495"/>
        <item m="1" x="598"/>
        <item m="1" x="597"/>
        <item m="1" x="392"/>
        <item m="1" x="439"/>
        <item m="1" x="270"/>
        <item m="1" x="516"/>
        <item m="1" x="391"/>
        <item m="1" x="269"/>
        <item m="1" x="593"/>
        <item m="1" x="494"/>
        <item m="1" x="493"/>
        <item m="1" x="356"/>
        <item m="1" x="592"/>
        <item m="1" x="313"/>
        <item m="1" x="504"/>
        <item m="1" x="312"/>
        <item m="1" x="268"/>
        <item m="1" x="549"/>
        <item m="1" x="300"/>
        <item m="1" x="537"/>
        <item m="1" x="591"/>
        <item m="1" x="503"/>
        <item m="1" x="547"/>
        <item m="1" x="577"/>
        <item m="1" x="323"/>
        <item m="1" x="610"/>
        <item m="1" x="311"/>
        <item m="1" x="609"/>
        <item m="1" x="623"/>
        <item m="1" x="451"/>
        <item m="1" x="389"/>
        <item m="1" x="333"/>
        <item m="1" x="436"/>
        <item m="1" x="401"/>
        <item m="1" x="322"/>
        <item m="1" x="387"/>
        <item m="1" x="595"/>
        <item m="1" x="296"/>
        <item m="1" x="431"/>
        <item m="1" x="366"/>
        <item m="1" x="563"/>
        <item m="1" x="400"/>
        <item m="1" x="562"/>
        <item m="1" x="512"/>
        <item m="1" x="446"/>
        <item m="1" x="522"/>
        <item m="1" x="336"/>
        <item m="1" x="603"/>
        <item m="1" x="276"/>
        <item m="1" x="552"/>
        <item m="1" x="452"/>
        <item m="1" x="307"/>
        <item m="1" x="397"/>
        <item m="1" x="438"/>
        <item m="1" x="341"/>
        <item m="1" x="421"/>
        <item m="1" x="507"/>
        <item m="1" x="396"/>
        <item h="1" m="1" x="328"/>
        <item h="1" x="212"/>
        <item h="1" m="1" x="545"/>
        <item h="1" m="1" x="474"/>
        <item h="1" m="1" x="405"/>
        <item h="1" m="1" x="280"/>
        <item h="1" m="1" x="327"/>
        <item h="1" m="1" x="590"/>
        <item h="1" m="1" x="377"/>
        <item h="1" m="1" x="429"/>
        <item h="1" x="12"/>
        <item h="1" m="1" x="578"/>
        <item h="1" m="1" x="534"/>
        <item h="1" m="1" x="361"/>
        <item h="1" m="1" x="482"/>
        <item h="1" m="1" x="275"/>
        <item h="1" m="1" x="365"/>
        <item h="1" m="1" x="500"/>
        <item h="1" m="1" x="408"/>
        <item h="1" m="1" x="530"/>
        <item h="1" x="148"/>
        <item h="1" m="1" x="428"/>
        <item h="1" m="1" x="445"/>
        <item h="1" m="1" x="427"/>
        <item h="1" m="1" x="586"/>
        <item h="1" m="1" x="352"/>
        <item h="1" m="1" x="385"/>
        <item h="1" m="1" x="554"/>
        <item h="1" m="1" x="484"/>
        <item h="1" m="1" x="506"/>
        <item h="1" m="1" x="478"/>
        <item h="1" m="1" x="460"/>
        <item h="1" x="42"/>
        <item h="1" m="1" x="523"/>
        <item h="1" m="1" x="608"/>
        <item h="1" m="1" x="284"/>
        <item h="1" m="1" x="345"/>
        <item h="1" m="1" x="583"/>
        <item h="1" m="1" x="374"/>
        <item h="1" m="1" x="481"/>
        <item h="1" m="1" x="450"/>
        <item h="1" m="1" x="520"/>
        <item h="1" m="1" x="587"/>
        <item h="1" m="1" x="517"/>
        <item h="1" m="1" x="292"/>
        <item h="1" m="1" x="360"/>
        <item h="1" m="1" x="453"/>
        <item h="1" m="1" x="346"/>
        <item h="1" m="1" x="303"/>
        <item h="1" m="1" x="419"/>
        <item h="1" m="1" x="556"/>
        <item h="1" m="1" x="310"/>
        <item h="1" m="1" x="550"/>
        <item h="1" m="1" x="393"/>
        <item h="1" m="1" x="399"/>
        <item h="1" m="1" x="281"/>
        <item h="1" m="1" x="283"/>
        <item h="1" m="1" x="430"/>
        <item h="1" x="193"/>
        <item h="1" m="1" x="536"/>
        <item h="1" m="1" x="317"/>
        <item h="1" m="1" x="321"/>
        <item h="1" m="1" x="412"/>
        <item h="1" m="1" x="369"/>
        <item h="1" m="1" x="551"/>
        <item h="1" m="1" x="576"/>
        <item h="1" m="1" x="348"/>
        <item h="1" m="1" x="555"/>
        <item h="1" m="1" x="316"/>
        <item h="1" m="1" x="357"/>
        <item h="1" m="1" x="491"/>
        <item h="1" m="1" x="423"/>
        <item h="1" m="1" x="528"/>
        <item h="1" m="1" x="418"/>
        <item h="1" m="1" x="499"/>
        <item h="1" m="1" x="297"/>
        <item h="1" m="1" x="432"/>
        <item h="1" m="1" x="299"/>
        <item h="1" m="1" x="489"/>
        <item h="1" x="68"/>
        <item h="1" m="1" x="584"/>
        <item h="1" m="1" x="607"/>
        <item h="1" x="108"/>
        <item h="1" m="1" x="279"/>
        <item h="1" m="1" x="487"/>
        <item h="1" m="1" x="513"/>
        <item h="1" m="1" x="624"/>
        <item h="1" m="1" x="618"/>
        <item h="1" x="139"/>
        <item h="1" m="1" x="538"/>
        <item h="1" m="1" x="306"/>
        <item h="1" m="1" x="388"/>
        <item h="1" m="1" x="331"/>
        <item h="1" x="187"/>
        <item h="1" m="1" x="403"/>
        <item h="1" m="1" x="351"/>
        <item h="1" x="169"/>
        <item h="1" m="1" x="588"/>
        <item h="1" m="1" x="569"/>
        <item h="1" m="1" x="542"/>
        <item h="1" m="1" x="570"/>
        <item h="1" m="1" x="305"/>
        <item h="1" m="1" x="467"/>
        <item h="1" m="1" x="337"/>
        <item h="1" m="1" x="566"/>
        <item h="1" m="1" x="437"/>
        <item h="1" m="1" x="564"/>
        <item h="1" m="1" x="519"/>
        <item h="1" m="1" x="476"/>
        <item h="1" m="1" x="293"/>
        <item h="1" m="1" x="560"/>
        <item h="1" m="1" x="546"/>
        <item h="1" m="1" x="502"/>
        <item h="1" m="1" x="371"/>
        <item h="1" m="1" x="376"/>
        <item h="1" m="1" x="571"/>
        <item h="1" x="9"/>
        <item h="1" x="209"/>
        <item h="1" m="1" x="558"/>
        <item h="1" x="40"/>
        <item h="1" m="1" x="485"/>
        <item h="1" m="1" x="613"/>
        <item h="1" m="1" x="606"/>
        <item h="1" m="1" x="301"/>
        <item h="1" m="1" x="459"/>
        <item h="1" m="1" x="342"/>
        <item h="1" m="1" x="515"/>
        <item h="1" m="1" x="417"/>
        <item h="1" m="1" x="619"/>
        <item h="1" m="1" x="477"/>
        <item h="1" m="1" x="274"/>
        <item h="1" m="1" x="404"/>
        <item h="1" x="5"/>
        <item h="1" m="1" x="585"/>
        <item h="1" m="1" x="384"/>
        <item h="1" m="1" x="329"/>
        <item h="1" m="1" x="335"/>
        <item h="1" m="1" x="370"/>
        <item h="1" m="1" x="373"/>
        <item h="1" m="1" x="470"/>
        <item h="1" m="1" x="501"/>
        <item h="1" m="1" x="288"/>
        <item h="1" m="1" x="543"/>
        <item h="1" m="1" x="291"/>
        <item h="1" x="197"/>
        <item h="1" m="1" x="527"/>
        <item h="1" m="1" x="367"/>
        <item h="1" m="1" x="497"/>
        <item h="1" m="1" x="612"/>
        <item h="1" m="1" x="448"/>
        <item h="1" m="1" x="540"/>
        <item h="1" m="1" x="420"/>
        <item h="1" m="1" x="559"/>
        <item h="1" m="1" x="617"/>
        <item h="1" m="1" x="444"/>
        <item h="1" m="1" x="354"/>
        <item h="1" m="1" x="434"/>
        <item h="1" m="1" x="539"/>
        <item h="1" m="1" x="355"/>
        <item h="1" m="1" x="468"/>
        <item h="1" m="1" x="457"/>
        <item h="1" m="1" x="514"/>
        <item h="1" m="1" x="533"/>
        <item h="1" m="1" x="353"/>
        <item h="1" m="1" x="518"/>
        <item h="1" m="1" x="425"/>
        <item h="1" m="1" x="372"/>
        <item h="1" m="1" x="394"/>
        <item h="1" m="1" x="319"/>
        <item h="1" m="1" x="349"/>
        <item h="1" m="1" x="368"/>
        <item h="1" m="1" x="302"/>
        <item h="1" m="1" x="475"/>
        <item h="1" m="1" x="422"/>
        <item h="1" m="1" x="380"/>
        <item h="1" m="1" x="443"/>
        <item h="1" m="1" x="508"/>
        <item h="1" m="1" x="605"/>
        <item h="1" m="1" x="594"/>
        <item h="1" m="1" x="363"/>
        <item h="1" m="1" x="325"/>
        <item h="1" m="1" x="271"/>
        <item h="1" m="1" x="308"/>
        <item h="1" m="1" x="611"/>
        <item h="1" x="266"/>
        <item h="1" x="0"/>
        <item h="1" x="1"/>
        <item h="1" x="4"/>
        <item h="1" x="8"/>
        <item h="1" x="7"/>
        <item h="1" x="11"/>
        <item h="1" x="17"/>
        <item h="1" x="16"/>
        <item h="1" x="13"/>
        <item h="1" x="14"/>
        <item h="1" x="15"/>
        <item h="1" x="18"/>
        <item h="1" x="19"/>
        <item h="1" x="20"/>
        <item h="1" x="21"/>
        <item h="1" x="23"/>
        <item h="1" x="26"/>
        <item h="1" x="25"/>
        <item h="1" x="29"/>
        <item h="1" x="28"/>
        <item h="1" x="31"/>
        <item h="1" x="30"/>
        <item h="1" x="35"/>
        <item h="1" x="34"/>
        <item h="1" x="33"/>
        <item h="1" x="32"/>
        <item h="1" x="36"/>
        <item h="1" x="37"/>
        <item h="1" x="38"/>
        <item h="1" x="41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9"/>
        <item h="1" x="53"/>
        <item h="1" x="54"/>
        <item h="1" x="55"/>
        <item h="1" x="56"/>
        <item h="1" x="57"/>
        <item h="1" x="58"/>
        <item h="1" x="60"/>
        <item h="1" x="61"/>
        <item h="1" x="62"/>
        <item h="1" x="64"/>
        <item h="1" x="66"/>
        <item h="1" x="67"/>
        <item h="1" x="71"/>
        <item h="1" x="70"/>
        <item h="1" x="74"/>
        <item h="1" x="72"/>
        <item h="1" x="73"/>
        <item h="1" x="76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8"/>
        <item h="1" x="87"/>
        <item h="1" x="89"/>
        <item h="1" x="90"/>
        <item h="1" x="93"/>
        <item h="1" x="94"/>
        <item h="1" x="95"/>
        <item h="1" x="96"/>
        <item h="1" x="100"/>
        <item h="1" x="99"/>
        <item h="1" x="101"/>
        <item h="1" x="97"/>
        <item h="1" x="98"/>
        <item h="1" x="103"/>
        <item h="1" x="102"/>
        <item h="1" x="104"/>
        <item h="1" x="106"/>
        <item h="1" x="107"/>
        <item h="1" x="109"/>
        <item h="1" x="111"/>
        <item h="1" x="112"/>
        <item h="1" x="116"/>
        <item h="1" x="115"/>
        <item h="1" x="114"/>
        <item h="1" x="113"/>
        <item h="1" x="118"/>
        <item h="1" x="119"/>
        <item h="1" x="117"/>
        <item h="1" x="120"/>
        <item h="1" x="121"/>
        <item h="1" x="124"/>
        <item h="1" x="123"/>
        <item h="1" x="122"/>
        <item h="1" x="126"/>
        <item h="1" x="125"/>
        <item h="1" x="127"/>
        <item h="1" x="128"/>
        <item h="1" x="129"/>
        <item h="1" x="132"/>
        <item h="1" x="133"/>
        <item h="1" x="134"/>
        <item h="1" x="136"/>
        <item h="1" x="135"/>
        <item h="1" x="138"/>
        <item h="1" x="137"/>
        <item h="1" x="140"/>
        <item h="1" x="141"/>
        <item h="1" x="142"/>
        <item h="1" x="147"/>
        <item h="1" x="145"/>
        <item h="1" x="146"/>
        <item h="1" x="144"/>
        <item h="1" x="149"/>
        <item h="1" x="150"/>
        <item h="1" x="151"/>
        <item h="1" x="152"/>
        <item h="1" x="153"/>
        <item h="1" x="154"/>
        <item h="1" x="155"/>
        <item h="1" x="157"/>
        <item h="1" x="158"/>
        <item h="1" x="159"/>
        <item h="1" x="160"/>
        <item h="1" x="162"/>
        <item h="1" x="161"/>
        <item h="1" x="163"/>
        <item h="1" x="164"/>
        <item h="1" x="165"/>
        <item h="1" x="168"/>
        <item h="1" x="167"/>
        <item h="1" x="170"/>
        <item h="1" x="172"/>
        <item h="1" x="171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5"/>
        <item h="1" x="186"/>
        <item h="1" x="188"/>
        <item h="1" x="189"/>
        <item h="1" x="190"/>
        <item h="1" x="191"/>
        <item h="1" x="192"/>
        <item h="1" x="194"/>
        <item h="1" x="195"/>
        <item h="1" x="196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11"/>
        <item h="1" x="213"/>
        <item h="1" x="216"/>
        <item h="1" x="215"/>
        <item h="1" x="218"/>
        <item h="1" x="217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30"/>
        <item h="1" x="229"/>
        <item h="1" x="231"/>
        <item h="1" x="232"/>
        <item h="1" x="233"/>
        <item h="1" x="235"/>
        <item h="1" x="236"/>
        <item h="1" x="237"/>
        <item h="1" x="234"/>
        <item h="1" x="238"/>
        <item h="1" x="239"/>
        <item h="1" x="240"/>
        <item h="1" x="241"/>
        <item h="1" x="243"/>
        <item h="1" x="242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6"/>
        <item h="1" x="255"/>
        <item h="1" x="257"/>
        <item h="1" x="258"/>
        <item h="1" x="259"/>
        <item h="1" x="260"/>
        <item h="1" x="261"/>
        <item h="1" x="262"/>
        <item h="1" x="263"/>
        <item h="1" x="264"/>
        <item h="1" m="1" x="338"/>
      </items>
    </pivotField>
    <pivotField axis="axisPage" compact="0" outline="0" multipleItemSelectionAllowed="1" showAll="0">
      <items count="42">
        <item h="1" m="1" x="32"/>
        <item h="1" x="20"/>
        <item h="1" x="2"/>
        <item h="1" x="28"/>
        <item h="1" m="1" x="35"/>
        <item h="1" x="22"/>
        <item h="1" m="1" x="36"/>
        <item h="1" x="13"/>
        <item h="1" x="26"/>
        <item h="1" x="14"/>
        <item h="1" x="19"/>
        <item h="1" x="18"/>
        <item h="1" m="1" x="40"/>
        <item h="1" m="1" x="33"/>
        <item h="1" x="11"/>
        <item h="1" m="1" x="31"/>
        <item h="1" x="24"/>
        <item h="1" x="25"/>
        <item x="6"/>
        <item h="1" x="15"/>
        <item h="1" x="7"/>
        <item h="1" x="4"/>
        <item h="1" x="21"/>
        <item h="1" x="10"/>
        <item h="1" m="1" x="34"/>
        <item h="1" x="0"/>
        <item h="1" m="1" x="38"/>
        <item h="1" m="1" x="37"/>
        <item h="1" x="3"/>
        <item h="1" x="5"/>
        <item h="1" x="17"/>
        <item h="1" x="12"/>
        <item h="1" x="1"/>
        <item h="1" m="1" x="39"/>
        <item h="1" m="1" x="30"/>
        <item h="1" x="27"/>
        <item h="1" x="29"/>
        <item h="1" x="8"/>
        <item h="1" x="9"/>
        <item h="1" x="16"/>
        <item h="1" x="23"/>
        <item t="default"/>
      </items>
    </pivotField>
    <pivotField axis="axisRow" compact="0" outline="0" showAll="0" sortType="ascending" defaultSubtotal="0">
      <items count="473">
        <item m="1" x="41"/>
        <item m="1" x="341"/>
        <item x="23"/>
        <item x="24"/>
        <item x="22"/>
        <item x="6"/>
        <item x="26"/>
        <item x="35"/>
        <item x="32"/>
        <item x="31"/>
        <item x="25"/>
        <item x="19"/>
        <item x="9"/>
        <item x="20"/>
        <item x="11"/>
        <item x="16"/>
        <item x="5"/>
        <item x="15"/>
        <item x="8"/>
        <item x="1"/>
        <item x="4"/>
        <item x="12"/>
        <item x="3"/>
        <item x="10"/>
        <item x="7"/>
        <item m="1" x="401"/>
        <item x="17"/>
        <item m="1" x="426"/>
        <item m="1" x="440"/>
        <item x="0"/>
        <item m="1" x="464"/>
        <item x="2"/>
        <item m="1" x="152"/>
        <item m="1" x="167"/>
        <item m="1" x="180"/>
        <item m="1" x="193"/>
        <item m="1" x="207"/>
        <item m="1" x="219"/>
        <item x="13"/>
        <item x="29"/>
        <item m="1" x="259"/>
        <item x="14"/>
        <item x="27"/>
        <item x="36"/>
        <item x="38"/>
        <item x="37"/>
        <item x="30"/>
        <item x="28"/>
        <item m="1" x="456"/>
        <item x="18"/>
        <item x="39"/>
        <item x="21"/>
        <item x="34"/>
        <item m="1" x="187"/>
        <item x="33"/>
        <item m="1" x="213"/>
        <item m="1" x="284"/>
        <item m="1" x="414"/>
        <item m="1" x="465"/>
        <item m="1" x="220"/>
        <item m="1" x="260"/>
        <item m="1" x="431"/>
        <item m="1" x="457"/>
        <item m="1" x="61"/>
        <item m="1" x="201"/>
        <item m="1" x="285"/>
        <item m="1" x="100"/>
        <item m="1" x="137"/>
        <item m="1" x="323"/>
        <item m="1" x="335"/>
        <item m="1" x="153"/>
        <item m="1" x="168"/>
        <item m="1" x="181"/>
        <item m="1" x="386"/>
        <item m="1" x="404"/>
        <item m="1" x="131"/>
        <item m="1" x="162"/>
        <item m="1" x="227"/>
        <item m="1" x="370"/>
        <item m="1" x="466"/>
        <item m="1" x="45"/>
        <item m="1" x="154"/>
        <item m="1" x="169"/>
        <item m="1" x="182"/>
        <item m="1" x="275"/>
        <item m="1" x="88"/>
        <item m="1" x="111"/>
        <item m="1" x="124"/>
        <item m="1" x="138"/>
        <item m="1" x="155"/>
        <item m="1" x="352"/>
        <item m="1" x="387"/>
        <item m="1" x="81"/>
        <item m="1" x="347"/>
        <item m="1" x="359"/>
        <item m="1" x="194"/>
        <item m="1" x="342"/>
        <item m="1" x="364"/>
        <item m="1" x="376"/>
        <item m="1" x="405"/>
        <item m="1" x="188"/>
        <item m="1" x="348"/>
        <item m="1" x="139"/>
        <item m="1" x="170"/>
        <item m="1" x="183"/>
        <item m="1" x="195"/>
        <item m="1" x="244"/>
        <item m="1" x="450"/>
        <item m="1" x="467"/>
        <item m="1" x="64"/>
        <item m="1" x="105"/>
        <item m="1" x="117"/>
        <item m="1" x="245"/>
        <item m="1" x="261"/>
        <item m="1" x="276"/>
        <item m="1" x="306"/>
        <item m="1" x="316"/>
        <item m="1" x="329"/>
        <item m="1" x="77"/>
        <item m="1" x="125"/>
        <item m="1" x="343"/>
        <item m="1" x="353"/>
        <item m="1" x="365"/>
        <item m="1" x="377"/>
        <item m="1" x="55"/>
        <item m="1" x="93"/>
        <item m="1" x="106"/>
        <item m="1" x="118"/>
        <item m="1" x="294"/>
        <item m="1" x="307"/>
        <item m="1" x="317"/>
        <item m="1" x="330"/>
        <item m="1" x="140"/>
        <item m="1" x="395"/>
        <item m="1" x="406"/>
        <item m="1" x="82"/>
        <item m="1" x="94"/>
        <item m="1" x="107"/>
        <item m="1" x="132"/>
        <item m="1" x="148"/>
        <item m="1" x="163"/>
        <item m="1" x="415"/>
        <item m="1" x="427"/>
        <item m="1" x="238"/>
        <item m="1" x="253"/>
        <item m="1" x="269"/>
        <item m="1" x="286"/>
        <item m="1" x="324"/>
        <item m="1" x="46"/>
        <item m="1" x="83"/>
        <item m="1" x="95"/>
        <item m="1" x="221"/>
        <item m="1" x="246"/>
        <item m="1" x="262"/>
        <item m="1" x="277"/>
        <item m="1" x="318"/>
        <item m="1" x="133"/>
        <item m="1" x="141"/>
        <item m="1" x="287"/>
        <item m="1" x="300"/>
        <item m="1" x="313"/>
        <item m="1" x="325"/>
        <item m="1" x="388"/>
        <item m="1" x="65"/>
        <item m="1" x="71"/>
        <item m="1" x="149"/>
        <item m="1" x="164"/>
        <item m="1" x="175"/>
        <item m="1" x="396"/>
        <item m="1" x="407"/>
        <item m="1" x="419"/>
        <item m="1" x="432"/>
        <item m="1" x="214"/>
        <item m="1" x="228"/>
        <item m="1" x="239"/>
        <item m="1" x="254"/>
        <item m="1" x="270"/>
        <item m="1" x="288"/>
        <item m="1" x="301"/>
        <item m="1" x="402"/>
        <item m="1" x="416"/>
        <item m="1" x="428"/>
        <item m="1" x="441"/>
        <item m="1" x="451"/>
        <item m="1" x="468"/>
        <item m="1" x="47"/>
        <item m="1" x="56"/>
        <item m="1" x="72"/>
        <item m="1" x="196"/>
        <item m="1" x="208"/>
        <item m="1" x="222"/>
        <item m="1" x="233"/>
        <item m="1" x="247"/>
        <item m="1" x="263"/>
        <item m="1" x="278"/>
        <item m="1" x="295"/>
        <item m="1" x="308"/>
        <item m="1" x="319"/>
        <item m="1" x="420"/>
        <item m="1" x="433"/>
        <item m="1" x="444"/>
        <item m="1" x="458"/>
        <item m="1" x="42"/>
        <item m="1" x="52"/>
        <item m="1" x="78"/>
        <item m="1" x="89"/>
        <item m="1" x="215"/>
        <item m="1" x="229"/>
        <item m="1" x="240"/>
        <item m="1" x="289"/>
        <item m="1" x="302"/>
        <item m="1" x="48"/>
        <item m="1" x="73"/>
        <item m="1" x="84"/>
        <item m="1" x="96"/>
        <item m="1" x="234"/>
        <item m="1" x="264"/>
        <item m="1" x="279"/>
        <item m="1" x="296"/>
        <item m="1" x="309"/>
        <item m="1" x="320"/>
        <item m="1" x="331"/>
        <item m="1" x="339"/>
        <item m="1" x="349"/>
        <item m="1" x="459"/>
        <item m="1" x="79"/>
        <item m="1" x="90"/>
        <item m="1" x="101"/>
        <item m="1" x="112"/>
        <item m="1" x="126"/>
        <item m="1" x="255"/>
        <item m="1" x="303"/>
        <item m="1" x="326"/>
        <item m="1" x="354"/>
        <item m="1" x="366"/>
        <item m="1" x="127"/>
        <item m="1" x="142"/>
        <item m="1" x="156"/>
        <item m="1" x="223"/>
        <item m="1" x="235"/>
        <item m="1" x="248"/>
        <item m="1" x="216"/>
        <item m="1" x="230"/>
        <item m="1" x="241"/>
        <item m="1" x="256"/>
        <item m="1" x="271"/>
        <item m="1" x="380"/>
        <item m="1" x="391"/>
        <item m="1" x="171"/>
        <item m="1" x="209"/>
        <item m="1" x="297"/>
        <item m="1" x="397"/>
        <item m="1" x="408"/>
        <item m="1" x="421"/>
        <item m="1" x="434"/>
        <item m="1" x="445"/>
        <item m="1" x="460"/>
        <item m="1" x="202"/>
        <item m="1" x="290"/>
        <item m="1" x="66"/>
        <item m="1" x="435"/>
        <item m="1" x="332"/>
        <item m="1" x="340"/>
        <item m="1" x="350"/>
        <item m="1" x="360"/>
        <item m="1" x="371"/>
        <item m="1" x="381"/>
        <item m="1" x="197"/>
        <item m="1" x="422"/>
        <item m="1" x="446"/>
        <item m="1" x="134"/>
        <item m="1" x="189"/>
        <item m="1" x="361"/>
        <item m="1" x="372"/>
        <item m="1" x="417"/>
        <item m="1" x="469"/>
        <item m="1" x="143"/>
        <item m="1" x="198"/>
        <item m="1" x="210"/>
        <item m="1" x="224"/>
        <item m="1" x="176"/>
        <item m="1" x="184"/>
        <item m="1" x="249"/>
        <item m="1" x="265"/>
        <item m="1" x="280"/>
        <item m="1" x="298"/>
        <item m="1" x="310"/>
        <item m="1" x="74"/>
        <item m="1" x="85"/>
        <item m="1" x="97"/>
        <item m="1" x="108"/>
        <item m="1" x="119"/>
        <item m="1" x="311"/>
        <item m="1" x="321"/>
        <item m="1" x="333"/>
        <item m="1" x="362"/>
        <item m="1" x="373"/>
        <item m="1" x="382"/>
        <item m="1" x="113"/>
        <item m="1" x="128"/>
        <item m="1" x="144"/>
        <item m="1" x="344"/>
        <item m="1" x="355"/>
        <item m="1" x="98"/>
        <item m="1" x="120"/>
        <item m="1" x="190"/>
        <item m="1" x="203"/>
        <item m="1" x="145"/>
        <item m="1" x="157"/>
        <item m="1" x="378"/>
        <item m="1" x="409"/>
        <item m="1" x="423"/>
        <item m="1" x="436"/>
        <item m="1" x="374"/>
        <item m="1" x="383"/>
        <item m="1" x="392"/>
        <item m="1" x="452"/>
        <item m="1" x="272"/>
        <item m="1" x="291"/>
        <item m="1" x="356"/>
        <item m="1" x="57"/>
        <item m="1" x="121"/>
        <item m="1" x="102"/>
        <item m="1" x="114"/>
        <item m="1" x="158"/>
        <item m="1" x="367"/>
        <item m="1" x="398"/>
        <item m="1" x="109"/>
        <item m="1" x="351"/>
        <item m="1" x="363"/>
        <item m="1" x="384"/>
        <item m="1" x="393"/>
        <item m="1" x="115"/>
        <item m="1" x="129"/>
        <item m="1" x="146"/>
        <item m="1" x="159"/>
        <item m="1" x="172"/>
        <item m="1" x="336"/>
        <item m="1" x="357"/>
        <item m="1" x="410"/>
        <item m="1" x="122"/>
        <item m="1" x="135"/>
        <item m="1" x="150"/>
        <item m="1" x="165"/>
        <item m="1" x="177"/>
        <item m="1" x="204"/>
        <item m="1" x="217"/>
        <item m="1" x="429"/>
        <item m="1" x="442"/>
        <item m="1" x="453"/>
        <item m="1" x="470"/>
        <item m="1" x="49"/>
        <item m="1" x="58"/>
        <item m="1" x="67"/>
        <item m="1" x="75"/>
        <item m="1" x="86"/>
        <item m="1" x="211"/>
        <item m="1" x="225"/>
        <item m="1" x="236"/>
        <item m="1" x="250"/>
        <item m="1" x="266"/>
        <item m="1" x="281"/>
        <item m="1" x="299"/>
        <item m="1" x="312"/>
        <item m="1" x="322"/>
        <item m="1" x="334"/>
        <item m="1" x="437"/>
        <item m="1" x="447"/>
        <item m="1" x="461"/>
        <item m="1" x="43"/>
        <item m="1" x="53"/>
        <item m="1" x="62"/>
        <item m="1" x="70"/>
        <item m="1" x="80"/>
        <item m="1" x="91"/>
        <item m="1" x="103"/>
        <item m="1" x="231"/>
        <item m="1" x="242"/>
        <item m="1" x="257"/>
        <item m="1" x="273"/>
        <item m="1" x="292"/>
        <item m="1" x="304"/>
        <item m="1" x="314"/>
        <item m="1" x="327"/>
        <item m="1" x="337"/>
        <item m="1" x="345"/>
        <item m="1" x="454"/>
        <item m="1" x="471"/>
        <item m="1" x="50"/>
        <item m="1" x="59"/>
        <item m="1" x="68"/>
        <item m="1" x="76"/>
        <item m="1" x="87"/>
        <item m="1" x="99"/>
        <item m="1" x="110"/>
        <item m="1" x="123"/>
        <item m="1" x="251"/>
        <item m="1" x="267"/>
        <item m="1" x="282"/>
        <item m="1" x="368"/>
        <item m="1" x="379"/>
        <item m="1" x="389"/>
        <item m="1" x="399"/>
        <item m="1" x="411"/>
        <item m="1" x="424"/>
        <item m="1" x="438"/>
        <item m="1" x="448"/>
        <item m="1" x="462"/>
        <item m="1" x="136"/>
        <item m="1" x="151"/>
        <item m="1" x="166"/>
        <item m="1" x="178"/>
        <item m="1" x="191"/>
        <item m="1" x="205"/>
        <item m="1" x="218"/>
        <item m="1" x="232"/>
        <item m="1" x="243"/>
        <item m="1" x="258"/>
        <item m="1" x="375"/>
        <item m="1" x="385"/>
        <item m="1" x="394"/>
        <item m="1" x="403"/>
        <item m="1" x="418"/>
        <item m="1" x="430"/>
        <item m="1" x="443"/>
        <item m="1" x="455"/>
        <item m="1" x="472"/>
        <item m="1" x="51"/>
        <item m="1" x="160"/>
        <item m="1" x="173"/>
        <item m="1" x="185"/>
        <item m="1" x="199"/>
        <item m="1" x="212"/>
        <item m="1" x="226"/>
        <item m="1" x="237"/>
        <item m="1" x="252"/>
        <item m="1" x="268"/>
        <item m="1" x="283"/>
        <item m="1" x="390"/>
        <item m="1" x="400"/>
        <item m="1" x="412"/>
        <item m="1" x="425"/>
        <item m="1" x="439"/>
        <item m="1" x="449"/>
        <item m="1" x="463"/>
        <item m="1" x="44"/>
        <item m="1" x="54"/>
        <item m="1" x="63"/>
        <item m="1" x="179"/>
        <item m="1" x="192"/>
        <item m="1" x="206"/>
        <item m="1" x="60"/>
        <item m="1" x="69"/>
        <item m="1" x="92"/>
        <item m="1" x="104"/>
        <item m="1" x="116"/>
        <item m="1" x="130"/>
        <item m="1" x="147"/>
        <item m="1" x="161"/>
        <item m="1" x="174"/>
        <item m="1" x="186"/>
        <item m="1" x="200"/>
        <item m="1" x="413"/>
        <item m="1" x="274"/>
        <item m="1" x="293"/>
        <item m="1" x="305"/>
        <item m="1" x="315"/>
        <item m="1" x="328"/>
        <item m="1" x="338"/>
        <item m="1" x="346"/>
        <item m="1" x="358"/>
        <item m="1" x="369"/>
        <item x="40"/>
      </items>
    </pivotField>
    <pivotField axis="axisRow" compact="0" outline="0" showAll="0" defaultSubtotal="0">
      <items count="8">
        <item m="1" x="5"/>
        <item x="3"/>
        <item x="2"/>
        <item x="0"/>
        <item x="1"/>
        <item m="1" x="6"/>
        <item m="1" x="7"/>
        <item x="4"/>
      </items>
    </pivotField>
    <pivotField axis="axisRow" compact="0" outline="0" showAll="0" defaultSubtotal="0">
      <items count="4">
        <item h="1" x="2"/>
        <item h="1" x="0"/>
        <item x="1"/>
        <item h="1" x="3"/>
      </items>
    </pivotField>
  </pivotFields>
  <rowFields count="5">
    <field x="12"/>
    <field x="4"/>
    <field x="10"/>
    <field x="13"/>
    <field x="14"/>
  </rowFields>
  <rowItems count="8">
    <i>
      <x v="3"/>
      <x v="60"/>
      <x v="8"/>
      <x v="4"/>
      <x v="2"/>
    </i>
    <i>
      <x v="10"/>
      <x v="30"/>
      <x v="8"/>
      <x v="4"/>
      <x v="2"/>
    </i>
    <i>
      <x v="15"/>
      <x v="112"/>
      <x v="8"/>
      <x v="4"/>
      <x v="2"/>
    </i>
    <i r="1">
      <x v="132"/>
      <x v="8"/>
      <x v="4"/>
      <x v="2"/>
    </i>
    <i>
      <x v="18"/>
      <x v="154"/>
      <x v="8"/>
      <x v="4"/>
      <x v="2"/>
    </i>
    <i r="1">
      <x v="165"/>
      <x v="8"/>
      <x v="4"/>
      <x v="2"/>
    </i>
    <i>
      <x v="24"/>
      <x v="157"/>
      <x v="28"/>
      <x v="4"/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1" hier="-1"/>
  </pageFields>
  <dataFields count="3">
    <dataField name="Sum of Unrestricted" fld="7" baseField="0" baseItem="0"/>
    <dataField name="Sum of In Quality Insp." fld="8" baseField="0" baseItem="0"/>
    <dataField name="Sum of Blocked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compact="0" compactData="0" multipleFieldFilters="0">
  <location ref="A4:H17" firstHeaderRow="0" firstDataRow="1" firstDataCol="5" rowPageCount="1" colPageCount="1"/>
  <pivotFields count="15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289">
        <item x="97"/>
        <item x="1"/>
        <item x="99"/>
        <item x="98"/>
        <item m="1" x="235"/>
        <item x="100"/>
        <item m="1" x="286"/>
        <item m="1" x="275"/>
        <item x="7"/>
        <item x="18"/>
        <item x="6"/>
        <item x="19"/>
        <item x="77"/>
        <item x="5"/>
        <item x="20"/>
        <item m="1" x="247"/>
        <item x="35"/>
        <item x="85"/>
        <item x="46"/>
        <item m="1" x="256"/>
        <item x="49"/>
        <item x="119"/>
        <item x="118"/>
        <item m="1" x="284"/>
        <item m="1" x="214"/>
        <item m="1" x="230"/>
        <item m="1" x="285"/>
        <item m="1" x="215"/>
        <item m="1" x="231"/>
        <item x="86"/>
        <item x="120"/>
        <item m="1" x="253"/>
        <item m="1" x="254"/>
        <item m="1" x="276"/>
        <item x="47"/>
        <item m="1" x="157"/>
        <item m="1" x="255"/>
        <item x="34"/>
        <item x="84"/>
        <item m="1" x="259"/>
        <item x="45"/>
        <item m="1" x="278"/>
        <item m="1" x="268"/>
        <item m="1" x="234"/>
        <item x="43"/>
        <item m="1" x="204"/>
        <item x="44"/>
        <item m="1" x="257"/>
        <item m="1" x="233"/>
        <item x="14"/>
        <item m="1" x="238"/>
        <item x="40"/>
        <item m="1" x="159"/>
        <item m="1" x="199"/>
        <item m="1" x="170"/>
        <item m="1" x="158"/>
        <item x="12"/>
        <item x="88"/>
        <item x="107"/>
        <item m="1" x="171"/>
        <item x="41"/>
        <item x="48"/>
        <item x="111"/>
        <item x="127"/>
        <item m="1" x="260"/>
        <item x="109"/>
        <item m="1" x="280"/>
        <item m="1" x="177"/>
        <item m="1" x="189"/>
        <item x="81"/>
        <item m="1" x="277"/>
        <item m="1" x="245"/>
        <item x="38"/>
        <item m="1" x="288"/>
        <item m="1" x="154"/>
        <item x="8"/>
        <item m="1" x="272"/>
        <item m="1" x="246"/>
        <item m="1" x="208"/>
        <item x="39"/>
        <item m="1" x="175"/>
        <item m="1" x="258"/>
        <item m="1" x="209"/>
        <item m="1" x="210"/>
        <item x="11"/>
        <item x="89"/>
        <item x="87"/>
        <item m="1" x="172"/>
        <item x="130"/>
        <item x="106"/>
        <item m="1" x="191"/>
        <item m="1" x="186"/>
        <item x="33"/>
        <item m="1" x="263"/>
        <item m="1" x="237"/>
        <item m="1" x="165"/>
        <item m="1" x="202"/>
        <item x="28"/>
        <item m="1" x="160"/>
        <item m="1" x="248"/>
        <item m="1" x="279"/>
        <item x="74"/>
        <item x="59"/>
        <item x="62"/>
        <item x="60"/>
        <item m="1" x="201"/>
        <item m="1" x="203"/>
        <item m="1" x="168"/>
        <item x="66"/>
        <item x="67"/>
        <item x="103"/>
        <item x="134"/>
        <item x="22"/>
        <item x="21"/>
        <item x="31"/>
        <item m="1" x="166"/>
        <item m="1" x="185"/>
        <item m="1" x="222"/>
        <item m="1" x="206"/>
        <item m="1" x="242"/>
        <item m="1" x="182"/>
        <item m="1" x="219"/>
        <item x="115"/>
        <item m="1" x="216"/>
        <item m="1" x="176"/>
        <item x="114"/>
        <item m="1" x="194"/>
        <item x="137"/>
        <item x="82"/>
        <item x="75"/>
        <item m="1" x="195"/>
        <item m="1" x="232"/>
        <item x="32"/>
        <item x="24"/>
        <item m="1" x="200"/>
        <item x="73"/>
        <item m="1" x="161"/>
        <item x="83"/>
        <item m="1" x="226"/>
        <item x="37"/>
        <item x="42"/>
        <item x="113"/>
        <item m="1" x="269"/>
        <item x="70"/>
        <item x="69"/>
        <item x="29"/>
        <item x="30"/>
        <item m="1" x="283"/>
        <item m="1" x="225"/>
        <item x="101"/>
        <item m="1" x="282"/>
        <item x="90"/>
        <item m="1" x="251"/>
        <item x="104"/>
        <item x="110"/>
        <item x="124"/>
        <item m="1" x="162"/>
        <item x="13"/>
        <item m="1" x="212"/>
        <item m="1" x="183"/>
        <item m="1" x="223"/>
        <item m="1" x="207"/>
        <item m="1" x="271"/>
        <item x="71"/>
        <item x="27"/>
        <item x="112"/>
        <item m="1" x="224"/>
        <item x="10"/>
        <item x="36"/>
        <item m="1" x="198"/>
        <item m="1" x="270"/>
        <item m="1" x="181"/>
        <item x="117"/>
        <item m="1" x="163"/>
        <item x="23"/>
        <item m="1" x="196"/>
        <item m="1" x="167"/>
        <item m="1" x="239"/>
        <item m="1" x="184"/>
        <item x="72"/>
        <item m="1" x="227"/>
        <item m="1" x="241"/>
        <item m="1" x="220"/>
        <item m="1" x="240"/>
        <item x="80"/>
        <item x="79"/>
        <item x="9"/>
        <item m="1" x="211"/>
        <item x="92"/>
        <item x="96"/>
        <item x="50"/>
        <item x="102"/>
        <item m="1" x="244"/>
        <item m="1" x="164"/>
        <item m="1" x="155"/>
        <item m="1" x="197"/>
        <item x="26"/>
        <item m="1" x="221"/>
        <item m="1" x="266"/>
        <item m="1" x="262"/>
        <item m="1" x="250"/>
        <item m="1" x="229"/>
        <item m="1" x="267"/>
        <item m="1" x="192"/>
        <item m="1" x="264"/>
        <item m="1" x="187"/>
        <item m="1" x="217"/>
        <item m="1" x="281"/>
        <item m="1" x="261"/>
        <item m="1" x="156"/>
        <item m="1" x="173"/>
        <item m="1" x="273"/>
        <item m="1" x="178"/>
        <item m="1" x="190"/>
        <item m="1" x="193"/>
        <item m="1" x="265"/>
        <item m="1" x="180"/>
        <item m="1" x="188"/>
        <item m="1" x="218"/>
        <item m="1" x="274"/>
        <item x="4"/>
        <item x="3"/>
        <item x="105"/>
        <item m="1" x="243"/>
        <item m="1" x="249"/>
        <item x="122"/>
        <item m="1" x="228"/>
        <item m="1" x="169"/>
        <item x="123"/>
        <item m="1" x="287"/>
        <item x="0"/>
        <item x="2"/>
        <item x="121"/>
        <item m="1" x="205"/>
        <item m="1" x="236"/>
        <item m="1" x="174"/>
        <item m="1" x="179"/>
        <item x="51"/>
        <item x="52"/>
        <item m="1" x="252"/>
        <item x="63"/>
        <item x="64"/>
        <item x="93"/>
        <item x="94"/>
        <item x="125"/>
        <item x="126"/>
        <item x="135"/>
        <item x="151"/>
        <item x="140"/>
        <item x="141"/>
        <item x="142"/>
        <item x="143"/>
        <item x="144"/>
        <item m="1" x="213"/>
        <item x="147"/>
        <item x="148"/>
        <item m="1" x="153"/>
        <item x="152"/>
        <item x="15"/>
        <item x="16"/>
        <item x="17"/>
        <item x="25"/>
        <item x="53"/>
        <item x="54"/>
        <item x="55"/>
        <item x="56"/>
        <item x="57"/>
        <item x="58"/>
        <item x="61"/>
        <item x="65"/>
        <item x="68"/>
        <item x="76"/>
        <item x="78"/>
        <item x="91"/>
        <item x="95"/>
        <item x="108"/>
        <item x="116"/>
        <item x="128"/>
        <item x="129"/>
        <item x="131"/>
        <item x="132"/>
        <item x="133"/>
        <item x="136"/>
        <item x="138"/>
        <item x="139"/>
        <item x="145"/>
        <item x="146"/>
        <item x="149"/>
        <item x="150"/>
      </items>
    </pivotField>
    <pivotField compact="0" outline="0" showAll="0"/>
    <pivotField compact="0" outline="0" showAll="0"/>
    <pivotField dataField="1" compact="0" numFmtId="164" outline="0" showAll="0"/>
    <pivotField dataField="1" compact="0" numFmtId="164" outline="0" showAll="0"/>
    <pivotField dataField="1" compact="0" numFmtId="164" outline="0" showAll="0"/>
    <pivotField axis="axisRow" compact="0" numFmtId="164" outline="0" showAll="0" defaultSubtotal="0">
      <items count="625">
        <item h="1" m="1" x="267"/>
        <item m="1" x="599"/>
        <item m="1" x="548"/>
        <item x="75"/>
        <item m="1" x="529"/>
        <item x="110"/>
        <item m="1" x="447"/>
        <item m="1" x="343"/>
        <item x="2"/>
        <item m="1" x="568"/>
        <item m="1" x="282"/>
        <item m="1" x="379"/>
        <item m="1" x="600"/>
        <item m="1" x="580"/>
        <item x="69"/>
        <item m="1" x="565"/>
        <item m="1" x="557"/>
        <item m="1" x="415"/>
        <item m="1" x="461"/>
        <item m="1" x="289"/>
        <item m="1" x="402"/>
        <item m="1" x="358"/>
        <item x="105"/>
        <item m="1" x="596"/>
        <item m="1" x="492"/>
        <item m="1" x="398"/>
        <item m="1" x="339"/>
        <item m="1" x="541"/>
        <item x="22"/>
        <item m="1" x="298"/>
        <item m="1" x="573"/>
        <item m="1" x="471"/>
        <item m="1" x="326"/>
        <item x="3"/>
        <item m="1" x="469"/>
        <item m="1" x="486"/>
        <item m="1" x="490"/>
        <item m="1" x="309"/>
        <item m="1" x="383"/>
        <item m="1" x="526"/>
        <item m="1" x="574"/>
        <item x="131"/>
        <item m="1" x="620"/>
        <item m="1" x="458"/>
        <item x="10"/>
        <item x="24"/>
        <item m="1" x="449"/>
        <item x="6"/>
        <item m="1" x="390"/>
        <item m="1" x="531"/>
        <item m="1" x="287"/>
        <item m="1" x="553"/>
        <item x="77"/>
        <item m="1" x="579"/>
        <item x="39"/>
        <item m="1" x="575"/>
        <item m="1" x="621"/>
        <item x="143"/>
        <item m="1" x="616"/>
        <item x="184"/>
        <item x="265"/>
        <item m="1" x="378"/>
        <item m="1" x="424"/>
        <item x="210"/>
        <item m="1" x="324"/>
        <item m="1" x="535"/>
        <item x="214"/>
        <item x="166"/>
        <item x="65"/>
        <item m="1" x="567"/>
        <item m="1" x="435"/>
        <item x="130"/>
        <item m="1" x="340"/>
        <item m="1" x="544"/>
        <item x="92"/>
        <item m="1" x="521"/>
        <item m="1" x="277"/>
        <item m="1" x="320"/>
        <item x="156"/>
        <item m="1" x="602"/>
        <item m="1" x="364"/>
        <item x="27"/>
        <item m="1" x="572"/>
        <item m="1" x="334"/>
        <item m="1" x="410"/>
        <item x="228"/>
        <item m="1" x="278"/>
        <item m="1" x="498"/>
        <item m="1" x="362"/>
        <item m="1" x="509"/>
        <item m="1" x="286"/>
        <item m="1" x="344"/>
        <item m="1" x="409"/>
        <item m="1" x="456"/>
        <item x="63"/>
        <item m="1" x="375"/>
        <item m="1" x="483"/>
        <item m="1" x="581"/>
        <item m="1" x="285"/>
        <item m="1" x="407"/>
        <item m="1" x="455"/>
        <item m="1" x="615"/>
        <item m="1" x="622"/>
        <item x="91"/>
        <item m="1" x="406"/>
        <item m="1" x="454"/>
        <item m="1" x="466"/>
        <item m="1" x="614"/>
        <item m="1" x="480"/>
        <item m="1" x="525"/>
        <item m="1" x="604"/>
        <item m="1" x="416"/>
        <item m="1" x="505"/>
        <item m="1" x="314"/>
        <item m="1" x="426"/>
        <item m="1" x="479"/>
        <item m="1" x="524"/>
        <item m="1" x="561"/>
        <item m="1" x="589"/>
        <item m="1" x="295"/>
        <item m="1" x="386"/>
        <item m="1" x="465"/>
        <item m="1" x="488"/>
        <item m="1" x="294"/>
        <item m="1" x="433"/>
        <item m="1" x="464"/>
        <item m="1" x="411"/>
        <item m="1" x="463"/>
        <item m="1" x="318"/>
        <item m="1" x="350"/>
        <item m="1" x="414"/>
        <item m="1" x="462"/>
        <item m="1" x="382"/>
        <item m="1" x="413"/>
        <item m="1" x="511"/>
        <item m="1" x="532"/>
        <item m="1" x="510"/>
        <item m="1" x="582"/>
        <item m="1" x="290"/>
        <item m="1" x="347"/>
        <item m="1" x="381"/>
        <item m="1" x="332"/>
        <item m="1" x="601"/>
        <item m="1" x="442"/>
        <item m="1" x="273"/>
        <item m="1" x="315"/>
        <item m="1" x="395"/>
        <item m="1" x="441"/>
        <item m="1" x="304"/>
        <item m="1" x="496"/>
        <item m="1" x="359"/>
        <item m="1" x="473"/>
        <item m="1" x="330"/>
        <item m="1" x="440"/>
        <item m="1" x="272"/>
        <item m="1" x="472"/>
        <item m="1" x="495"/>
        <item m="1" x="598"/>
        <item m="1" x="597"/>
        <item m="1" x="392"/>
        <item m="1" x="439"/>
        <item m="1" x="270"/>
        <item m="1" x="516"/>
        <item m="1" x="391"/>
        <item m="1" x="269"/>
        <item m="1" x="593"/>
        <item m="1" x="494"/>
        <item m="1" x="493"/>
        <item m="1" x="356"/>
        <item m="1" x="592"/>
        <item m="1" x="313"/>
        <item m="1" x="504"/>
        <item m="1" x="312"/>
        <item m="1" x="268"/>
        <item m="1" x="549"/>
        <item m="1" x="300"/>
        <item m="1" x="537"/>
        <item m="1" x="591"/>
        <item m="1" x="503"/>
        <item m="1" x="547"/>
        <item m="1" x="577"/>
        <item m="1" x="323"/>
        <item m="1" x="610"/>
        <item m="1" x="311"/>
        <item m="1" x="609"/>
        <item m="1" x="623"/>
        <item m="1" x="451"/>
        <item m="1" x="389"/>
        <item m="1" x="333"/>
        <item m="1" x="436"/>
        <item m="1" x="401"/>
        <item m="1" x="322"/>
        <item m="1" x="387"/>
        <item m="1" x="595"/>
        <item m="1" x="296"/>
        <item m="1" x="431"/>
        <item m="1" x="366"/>
        <item m="1" x="563"/>
        <item m="1" x="400"/>
        <item m="1" x="562"/>
        <item m="1" x="512"/>
        <item m="1" x="446"/>
        <item m="1" x="522"/>
        <item m="1" x="336"/>
        <item m="1" x="603"/>
        <item m="1" x="276"/>
        <item m="1" x="552"/>
        <item m="1" x="452"/>
        <item m="1" x="307"/>
        <item m="1" x="397"/>
        <item m="1" x="438"/>
        <item m="1" x="341"/>
        <item m="1" x="421"/>
        <item m="1" x="507"/>
        <item m="1" x="396"/>
        <item h="1" m="1" x="328"/>
        <item h="1" x="212"/>
        <item h="1" m="1" x="545"/>
        <item h="1" m="1" x="474"/>
        <item h="1" m="1" x="405"/>
        <item h="1" m="1" x="280"/>
        <item h="1" m="1" x="327"/>
        <item h="1" m="1" x="590"/>
        <item h="1" m="1" x="377"/>
        <item h="1" m="1" x="429"/>
        <item h="1" x="12"/>
        <item h="1" m="1" x="578"/>
        <item h="1" m="1" x="534"/>
        <item h="1" m="1" x="361"/>
        <item h="1" m="1" x="482"/>
        <item h="1" m="1" x="275"/>
        <item h="1" m="1" x="365"/>
        <item h="1" m="1" x="500"/>
        <item h="1" m="1" x="408"/>
        <item h="1" m="1" x="530"/>
        <item h="1" x="148"/>
        <item h="1" m="1" x="428"/>
        <item h="1" m="1" x="445"/>
        <item h="1" m="1" x="427"/>
        <item h="1" m="1" x="586"/>
        <item h="1" m="1" x="352"/>
        <item h="1" m="1" x="385"/>
        <item h="1" m="1" x="554"/>
        <item h="1" m="1" x="484"/>
        <item h="1" m="1" x="506"/>
        <item h="1" m="1" x="478"/>
        <item h="1" m="1" x="460"/>
        <item h="1" x="42"/>
        <item h="1" m="1" x="523"/>
        <item h="1" m="1" x="608"/>
        <item h="1" m="1" x="284"/>
        <item h="1" m="1" x="345"/>
        <item h="1" m="1" x="583"/>
        <item h="1" m="1" x="374"/>
        <item h="1" m="1" x="481"/>
        <item h="1" m="1" x="450"/>
        <item h="1" m="1" x="520"/>
        <item h="1" m="1" x="587"/>
        <item h="1" m="1" x="517"/>
        <item h="1" m="1" x="292"/>
        <item h="1" m="1" x="360"/>
        <item h="1" m="1" x="453"/>
        <item h="1" m="1" x="346"/>
        <item h="1" m="1" x="303"/>
        <item h="1" m="1" x="419"/>
        <item h="1" m="1" x="556"/>
        <item h="1" m="1" x="310"/>
        <item h="1" m="1" x="550"/>
        <item h="1" m="1" x="393"/>
        <item h="1" m="1" x="399"/>
        <item h="1" m="1" x="281"/>
        <item h="1" m="1" x="283"/>
        <item h="1" m="1" x="430"/>
        <item h="1" x="193"/>
        <item h="1" m="1" x="536"/>
        <item h="1" m="1" x="317"/>
        <item h="1" m="1" x="321"/>
        <item h="1" m="1" x="412"/>
        <item h="1" m="1" x="369"/>
        <item h="1" m="1" x="551"/>
        <item h="1" m="1" x="576"/>
        <item h="1" m="1" x="348"/>
        <item h="1" m="1" x="555"/>
        <item h="1" m="1" x="316"/>
        <item h="1" m="1" x="357"/>
        <item h="1" m="1" x="491"/>
        <item h="1" m="1" x="423"/>
        <item h="1" m="1" x="528"/>
        <item h="1" m="1" x="418"/>
        <item h="1" m="1" x="499"/>
        <item h="1" m="1" x="297"/>
        <item h="1" m="1" x="432"/>
        <item h="1" m="1" x="299"/>
        <item h="1" m="1" x="489"/>
        <item h="1" x="68"/>
        <item h="1" m="1" x="584"/>
        <item h="1" m="1" x="607"/>
        <item h="1" x="108"/>
        <item h="1" m="1" x="279"/>
        <item h="1" m="1" x="487"/>
        <item h="1" m="1" x="513"/>
        <item h="1" m="1" x="624"/>
        <item h="1" m="1" x="618"/>
        <item h="1" x="139"/>
        <item h="1" m="1" x="538"/>
        <item h="1" m="1" x="306"/>
        <item h="1" m="1" x="388"/>
        <item h="1" m="1" x="331"/>
        <item h="1" x="187"/>
        <item h="1" m="1" x="403"/>
        <item h="1" m="1" x="351"/>
        <item h="1" x="169"/>
        <item h="1" m="1" x="588"/>
        <item h="1" m="1" x="569"/>
        <item h="1" m="1" x="542"/>
        <item h="1" m="1" x="570"/>
        <item h="1" m="1" x="305"/>
        <item h="1" m="1" x="467"/>
        <item h="1" m="1" x="337"/>
        <item h="1" m="1" x="566"/>
        <item h="1" m="1" x="437"/>
        <item h="1" m="1" x="564"/>
        <item h="1" m="1" x="519"/>
        <item h="1" m="1" x="476"/>
        <item h="1" m="1" x="293"/>
        <item h="1" m="1" x="560"/>
        <item h="1" m="1" x="546"/>
        <item h="1" m="1" x="502"/>
        <item h="1" m="1" x="371"/>
        <item h="1" m="1" x="376"/>
        <item h="1" m="1" x="571"/>
        <item h="1" x="9"/>
        <item h="1" x="209"/>
        <item h="1" m="1" x="558"/>
        <item h="1" x="40"/>
        <item h="1" m="1" x="485"/>
        <item h="1" m="1" x="613"/>
        <item h="1" m="1" x="606"/>
        <item h="1" m="1" x="301"/>
        <item h="1" m="1" x="459"/>
        <item h="1" m="1" x="342"/>
        <item h="1" m="1" x="515"/>
        <item h="1" m="1" x="417"/>
        <item h="1" m="1" x="619"/>
        <item h="1" m="1" x="477"/>
        <item h="1" m="1" x="274"/>
        <item h="1" m="1" x="404"/>
        <item h="1" x="5"/>
        <item h="1" m="1" x="585"/>
        <item h="1" m="1" x="384"/>
        <item h="1" m="1" x="329"/>
        <item h="1" m="1" x="335"/>
        <item h="1" m="1" x="370"/>
        <item h="1" m="1" x="373"/>
        <item h="1" m="1" x="470"/>
        <item h="1" m="1" x="501"/>
        <item h="1" m="1" x="288"/>
        <item h="1" m="1" x="543"/>
        <item h="1" m="1" x="291"/>
        <item h="1" x="197"/>
        <item h="1" m="1" x="527"/>
        <item h="1" m="1" x="367"/>
        <item h="1" m="1" x="497"/>
        <item h="1" m="1" x="612"/>
        <item h="1" m="1" x="448"/>
        <item h="1" m="1" x="540"/>
        <item h="1" m="1" x="420"/>
        <item h="1" m="1" x="559"/>
        <item h="1" m="1" x="617"/>
        <item h="1" m="1" x="444"/>
        <item h="1" m="1" x="354"/>
        <item h="1" m="1" x="434"/>
        <item h="1" m="1" x="539"/>
        <item h="1" m="1" x="355"/>
        <item h="1" m="1" x="468"/>
        <item h="1" m="1" x="457"/>
        <item h="1" m="1" x="514"/>
        <item h="1" m="1" x="533"/>
        <item h="1" m="1" x="353"/>
        <item h="1" m="1" x="518"/>
        <item h="1" m="1" x="425"/>
        <item h="1" m="1" x="372"/>
        <item h="1" m="1" x="394"/>
        <item h="1" m="1" x="319"/>
        <item h="1" m="1" x="349"/>
        <item h="1" m="1" x="368"/>
        <item h="1" m="1" x="302"/>
        <item h="1" m="1" x="475"/>
        <item h="1" m="1" x="422"/>
        <item h="1" m="1" x="380"/>
        <item h="1" m="1" x="443"/>
        <item h="1" m="1" x="508"/>
        <item h="1" m="1" x="605"/>
        <item h="1" m="1" x="594"/>
        <item h="1" m="1" x="363"/>
        <item h="1" m="1" x="325"/>
        <item h="1" m="1" x="271"/>
        <item h="1" m="1" x="308"/>
        <item h="1" m="1" x="611"/>
        <item h="1" x="266"/>
        <item h="1" x="0"/>
        <item h="1" x="1"/>
        <item h="1" x="4"/>
        <item h="1" x="8"/>
        <item h="1" x="7"/>
        <item h="1" x="11"/>
        <item h="1" x="17"/>
        <item h="1" x="16"/>
        <item h="1" x="13"/>
        <item h="1" x="14"/>
        <item h="1" x="15"/>
        <item h="1" x="18"/>
        <item h="1" x="19"/>
        <item h="1" x="20"/>
        <item h="1" x="21"/>
        <item h="1" x="23"/>
        <item h="1" x="26"/>
        <item h="1" x="25"/>
        <item h="1" x="29"/>
        <item h="1" x="28"/>
        <item h="1" x="31"/>
        <item h="1" x="30"/>
        <item h="1" x="35"/>
        <item h="1" x="34"/>
        <item h="1" x="33"/>
        <item h="1" x="32"/>
        <item h="1" x="36"/>
        <item h="1" x="37"/>
        <item h="1" x="38"/>
        <item h="1" x="41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9"/>
        <item h="1" x="53"/>
        <item h="1" x="54"/>
        <item h="1" x="55"/>
        <item h="1" x="56"/>
        <item h="1" x="57"/>
        <item h="1" x="58"/>
        <item h="1" x="60"/>
        <item h="1" x="61"/>
        <item h="1" x="62"/>
        <item h="1" x="64"/>
        <item h="1" x="66"/>
        <item h="1" x="67"/>
        <item h="1" x="71"/>
        <item h="1" x="70"/>
        <item h="1" x="74"/>
        <item h="1" x="72"/>
        <item h="1" x="73"/>
        <item h="1" x="76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8"/>
        <item h="1" x="87"/>
        <item h="1" x="89"/>
        <item h="1" x="90"/>
        <item h="1" x="93"/>
        <item h="1" x="94"/>
        <item h="1" x="95"/>
        <item h="1" x="96"/>
        <item h="1" x="100"/>
        <item h="1" x="99"/>
        <item h="1" x="101"/>
        <item h="1" x="97"/>
        <item h="1" x="98"/>
        <item h="1" x="103"/>
        <item h="1" x="102"/>
        <item h="1" x="104"/>
        <item h="1" x="106"/>
        <item h="1" x="107"/>
        <item h="1" x="109"/>
        <item h="1" x="111"/>
        <item h="1" x="112"/>
        <item h="1" x="116"/>
        <item h="1" x="115"/>
        <item h="1" x="114"/>
        <item h="1" x="113"/>
        <item h="1" x="118"/>
        <item h="1" x="119"/>
        <item h="1" x="117"/>
        <item h="1" x="120"/>
        <item h="1" x="121"/>
        <item h="1" x="124"/>
        <item h="1" x="123"/>
        <item h="1" x="122"/>
        <item h="1" x="126"/>
        <item h="1" x="125"/>
        <item h="1" x="127"/>
        <item h="1" x="128"/>
        <item h="1" x="129"/>
        <item h="1" x="132"/>
        <item h="1" x="133"/>
        <item h="1" x="134"/>
        <item h="1" x="136"/>
        <item h="1" x="135"/>
        <item h="1" x="138"/>
        <item h="1" x="137"/>
        <item h="1" x="140"/>
        <item h="1" x="141"/>
        <item h="1" x="142"/>
        <item h="1" x="147"/>
        <item h="1" x="145"/>
        <item h="1" x="146"/>
        <item h="1" x="144"/>
        <item h="1" x="149"/>
        <item h="1" x="150"/>
        <item h="1" x="151"/>
        <item h="1" x="152"/>
        <item h="1" x="153"/>
        <item h="1" x="154"/>
        <item h="1" x="155"/>
        <item h="1" x="157"/>
        <item h="1" x="158"/>
        <item h="1" x="159"/>
        <item h="1" x="160"/>
        <item h="1" x="162"/>
        <item h="1" x="161"/>
        <item h="1" x="163"/>
        <item h="1" x="164"/>
        <item h="1" x="165"/>
        <item h="1" x="168"/>
        <item h="1" x="167"/>
        <item h="1" x="170"/>
        <item h="1" x="172"/>
        <item h="1" x="171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5"/>
        <item h="1" x="186"/>
        <item h="1" x="188"/>
        <item h="1" x="189"/>
        <item h="1" x="190"/>
        <item h="1" x="191"/>
        <item h="1" x="192"/>
        <item h="1" x="194"/>
        <item h="1" x="195"/>
        <item h="1" x="196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11"/>
        <item h="1" x="213"/>
        <item h="1" x="216"/>
        <item h="1" x="215"/>
        <item h="1" x="218"/>
        <item h="1" x="217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30"/>
        <item h="1" x="229"/>
        <item h="1" x="231"/>
        <item h="1" x="232"/>
        <item h="1" x="233"/>
        <item h="1" x="235"/>
        <item h="1" x="236"/>
        <item h="1" x="237"/>
        <item h="1" x="234"/>
        <item h="1" x="238"/>
        <item h="1" x="239"/>
        <item h="1" x="240"/>
        <item h="1" x="241"/>
        <item h="1" x="243"/>
        <item h="1" x="242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6"/>
        <item h="1" x="255"/>
        <item h="1" x="257"/>
        <item h="1" x="258"/>
        <item h="1" x="259"/>
        <item h="1" x="260"/>
        <item h="1" x="261"/>
        <item h="1" x="262"/>
        <item h="1" x="263"/>
        <item h="1" x="264"/>
        <item h="1" m="1" x="338"/>
      </items>
    </pivotField>
    <pivotField axis="axisPage" compact="0" outline="0" multipleItemSelectionAllowed="1" showAll="0">
      <items count="42">
        <item h="1" m="1" x="32"/>
        <item h="1" x="20"/>
        <item h="1" x="2"/>
        <item h="1" x="28"/>
        <item h="1" m="1" x="35"/>
        <item h="1" x="22"/>
        <item h="1" m="1" x="36"/>
        <item h="1" x="13"/>
        <item h="1" x="26"/>
        <item h="1" x="14"/>
        <item h="1" x="19"/>
        <item h="1" x="18"/>
        <item h="1" m="1" x="40"/>
        <item h="1" m="1" x="33"/>
        <item h="1" x="11"/>
        <item h="1" m="1" x="31"/>
        <item h="1" x="24"/>
        <item h="1" x="25"/>
        <item x="6"/>
        <item h="1" x="15"/>
        <item h="1" x="7"/>
        <item h="1" x="4"/>
        <item h="1" x="21"/>
        <item h="1" x="10"/>
        <item h="1" m="1" x="34"/>
        <item h="1" x="0"/>
        <item h="1" m="1" x="38"/>
        <item h="1" m="1" x="37"/>
        <item h="1" x="3"/>
        <item h="1" x="5"/>
        <item h="1" x="17"/>
        <item h="1" x="12"/>
        <item h="1" x="1"/>
        <item h="1" m="1" x="39"/>
        <item h="1" m="1" x="30"/>
        <item h="1" x="27"/>
        <item h="1" x="29"/>
        <item h="1" x="8"/>
        <item h="1" x="9"/>
        <item h="1" x="16"/>
        <item h="1" x="23"/>
        <item t="default"/>
      </items>
    </pivotField>
    <pivotField axis="axisRow" compact="0" outline="0" showAll="0" sortType="ascending" defaultSubtotal="0">
      <items count="473">
        <item m="1" x="41"/>
        <item m="1" x="341"/>
        <item x="23"/>
        <item x="24"/>
        <item x="22"/>
        <item x="6"/>
        <item x="26"/>
        <item x="35"/>
        <item x="32"/>
        <item x="31"/>
        <item x="25"/>
        <item x="19"/>
        <item x="9"/>
        <item x="20"/>
        <item x="11"/>
        <item x="16"/>
        <item x="5"/>
        <item x="15"/>
        <item x="8"/>
        <item x="1"/>
        <item x="4"/>
        <item x="12"/>
        <item x="3"/>
        <item x="10"/>
        <item x="7"/>
        <item m="1" x="401"/>
        <item x="17"/>
        <item m="1" x="426"/>
        <item m="1" x="440"/>
        <item x="0"/>
        <item m="1" x="464"/>
        <item x="2"/>
        <item m="1" x="152"/>
        <item m="1" x="167"/>
        <item m="1" x="180"/>
        <item m="1" x="193"/>
        <item m="1" x="207"/>
        <item m="1" x="219"/>
        <item x="13"/>
        <item x="29"/>
        <item m="1" x="259"/>
        <item x="14"/>
        <item x="27"/>
        <item x="36"/>
        <item x="38"/>
        <item x="37"/>
        <item x="30"/>
        <item x="28"/>
        <item m="1" x="456"/>
        <item x="18"/>
        <item x="39"/>
        <item x="21"/>
        <item x="34"/>
        <item m="1" x="187"/>
        <item x="33"/>
        <item m="1" x="213"/>
        <item m="1" x="284"/>
        <item m="1" x="414"/>
        <item m="1" x="465"/>
        <item m="1" x="220"/>
        <item m="1" x="260"/>
        <item m="1" x="431"/>
        <item m="1" x="457"/>
        <item m="1" x="61"/>
        <item m="1" x="201"/>
        <item m="1" x="285"/>
        <item m="1" x="100"/>
        <item m="1" x="137"/>
        <item m="1" x="323"/>
        <item m="1" x="335"/>
        <item m="1" x="153"/>
        <item m="1" x="168"/>
        <item m="1" x="181"/>
        <item m="1" x="386"/>
        <item m="1" x="404"/>
        <item m="1" x="131"/>
        <item m="1" x="162"/>
        <item m="1" x="227"/>
        <item m="1" x="370"/>
        <item m="1" x="466"/>
        <item m="1" x="45"/>
        <item m="1" x="154"/>
        <item m="1" x="169"/>
        <item m="1" x="182"/>
        <item m="1" x="275"/>
        <item m="1" x="88"/>
        <item m="1" x="111"/>
        <item m="1" x="124"/>
        <item m="1" x="138"/>
        <item m="1" x="155"/>
        <item m="1" x="352"/>
        <item m="1" x="387"/>
        <item m="1" x="81"/>
        <item m="1" x="347"/>
        <item m="1" x="359"/>
        <item m="1" x="194"/>
        <item m="1" x="342"/>
        <item m="1" x="364"/>
        <item m="1" x="376"/>
        <item m="1" x="405"/>
        <item m="1" x="188"/>
        <item m="1" x="348"/>
        <item m="1" x="139"/>
        <item m="1" x="170"/>
        <item m="1" x="183"/>
        <item m="1" x="195"/>
        <item m="1" x="244"/>
        <item m="1" x="450"/>
        <item m="1" x="467"/>
        <item m="1" x="64"/>
        <item m="1" x="105"/>
        <item m="1" x="117"/>
        <item m="1" x="245"/>
        <item m="1" x="261"/>
        <item m="1" x="276"/>
        <item m="1" x="306"/>
        <item m="1" x="316"/>
        <item m="1" x="329"/>
        <item m="1" x="77"/>
        <item m="1" x="125"/>
        <item m="1" x="343"/>
        <item m="1" x="353"/>
        <item m="1" x="365"/>
        <item m="1" x="377"/>
        <item m="1" x="55"/>
        <item m="1" x="93"/>
        <item m="1" x="106"/>
        <item m="1" x="118"/>
        <item m="1" x="294"/>
        <item m="1" x="307"/>
        <item m="1" x="317"/>
        <item m="1" x="330"/>
        <item m="1" x="140"/>
        <item m="1" x="395"/>
        <item m="1" x="406"/>
        <item m="1" x="82"/>
        <item m="1" x="94"/>
        <item m="1" x="107"/>
        <item m="1" x="132"/>
        <item m="1" x="148"/>
        <item m="1" x="163"/>
        <item m="1" x="415"/>
        <item m="1" x="427"/>
        <item m="1" x="238"/>
        <item m="1" x="253"/>
        <item m="1" x="269"/>
        <item m="1" x="286"/>
        <item m="1" x="324"/>
        <item m="1" x="46"/>
        <item m="1" x="83"/>
        <item m="1" x="95"/>
        <item m="1" x="221"/>
        <item m="1" x="246"/>
        <item m="1" x="262"/>
        <item m="1" x="277"/>
        <item m="1" x="318"/>
        <item m="1" x="133"/>
        <item m="1" x="141"/>
        <item m="1" x="287"/>
        <item m="1" x="300"/>
        <item m="1" x="313"/>
        <item m="1" x="325"/>
        <item m="1" x="388"/>
        <item m="1" x="65"/>
        <item m="1" x="71"/>
        <item m="1" x="149"/>
        <item m="1" x="164"/>
        <item m="1" x="175"/>
        <item m="1" x="396"/>
        <item m="1" x="407"/>
        <item m="1" x="419"/>
        <item m="1" x="432"/>
        <item m="1" x="214"/>
        <item m="1" x="228"/>
        <item m="1" x="239"/>
        <item m="1" x="254"/>
        <item m="1" x="270"/>
        <item m="1" x="288"/>
        <item m="1" x="301"/>
        <item m="1" x="402"/>
        <item m="1" x="416"/>
        <item m="1" x="428"/>
        <item m="1" x="441"/>
        <item m="1" x="451"/>
        <item m="1" x="468"/>
        <item m="1" x="47"/>
        <item m="1" x="56"/>
        <item m="1" x="72"/>
        <item m="1" x="196"/>
        <item m="1" x="208"/>
        <item m="1" x="222"/>
        <item m="1" x="233"/>
        <item m="1" x="247"/>
        <item m="1" x="263"/>
        <item m="1" x="278"/>
        <item m="1" x="295"/>
        <item m="1" x="308"/>
        <item m="1" x="319"/>
        <item m="1" x="420"/>
        <item m="1" x="433"/>
        <item m="1" x="444"/>
        <item m="1" x="458"/>
        <item m="1" x="42"/>
        <item m="1" x="52"/>
        <item m="1" x="78"/>
        <item m="1" x="89"/>
        <item m="1" x="215"/>
        <item m="1" x="229"/>
        <item m="1" x="240"/>
        <item m="1" x="289"/>
        <item m="1" x="302"/>
        <item m="1" x="48"/>
        <item m="1" x="73"/>
        <item m="1" x="84"/>
        <item m="1" x="96"/>
        <item m="1" x="234"/>
        <item m="1" x="264"/>
        <item m="1" x="279"/>
        <item m="1" x="296"/>
        <item m="1" x="309"/>
        <item m="1" x="320"/>
        <item m="1" x="331"/>
        <item m="1" x="339"/>
        <item m="1" x="349"/>
        <item m="1" x="459"/>
        <item m="1" x="79"/>
        <item m="1" x="90"/>
        <item m="1" x="101"/>
        <item m="1" x="112"/>
        <item m="1" x="126"/>
        <item m="1" x="255"/>
        <item m="1" x="303"/>
        <item m="1" x="326"/>
        <item m="1" x="354"/>
        <item m="1" x="366"/>
        <item m="1" x="127"/>
        <item m="1" x="142"/>
        <item m="1" x="156"/>
        <item m="1" x="223"/>
        <item m="1" x="235"/>
        <item m="1" x="248"/>
        <item m="1" x="216"/>
        <item m="1" x="230"/>
        <item m="1" x="241"/>
        <item m="1" x="256"/>
        <item m="1" x="271"/>
        <item m="1" x="380"/>
        <item m="1" x="391"/>
        <item m="1" x="171"/>
        <item m="1" x="209"/>
        <item m="1" x="297"/>
        <item m="1" x="397"/>
        <item m="1" x="408"/>
        <item m="1" x="421"/>
        <item m="1" x="434"/>
        <item m="1" x="445"/>
        <item m="1" x="460"/>
        <item m="1" x="202"/>
        <item m="1" x="290"/>
        <item m="1" x="66"/>
        <item m="1" x="435"/>
        <item m="1" x="332"/>
        <item m="1" x="340"/>
        <item m="1" x="350"/>
        <item m="1" x="360"/>
        <item m="1" x="371"/>
        <item m="1" x="381"/>
        <item m="1" x="197"/>
        <item m="1" x="422"/>
        <item m="1" x="446"/>
        <item m="1" x="134"/>
        <item m="1" x="189"/>
        <item m="1" x="361"/>
        <item m="1" x="372"/>
        <item m="1" x="417"/>
        <item m="1" x="469"/>
        <item m="1" x="143"/>
        <item m="1" x="198"/>
        <item m="1" x="210"/>
        <item m="1" x="224"/>
        <item m="1" x="176"/>
        <item m="1" x="184"/>
        <item m="1" x="249"/>
        <item m="1" x="265"/>
        <item m="1" x="280"/>
        <item m="1" x="298"/>
        <item m="1" x="310"/>
        <item m="1" x="74"/>
        <item m="1" x="85"/>
        <item m="1" x="97"/>
        <item m="1" x="108"/>
        <item m="1" x="119"/>
        <item m="1" x="311"/>
        <item m="1" x="321"/>
        <item m="1" x="333"/>
        <item m="1" x="362"/>
        <item m="1" x="373"/>
        <item m="1" x="382"/>
        <item m="1" x="113"/>
        <item m="1" x="128"/>
        <item m="1" x="144"/>
        <item m="1" x="344"/>
        <item m="1" x="355"/>
        <item m="1" x="98"/>
        <item m="1" x="120"/>
        <item m="1" x="190"/>
        <item m="1" x="203"/>
        <item m="1" x="145"/>
        <item m="1" x="157"/>
        <item m="1" x="378"/>
        <item m="1" x="409"/>
        <item m="1" x="423"/>
        <item m="1" x="436"/>
        <item m="1" x="374"/>
        <item m="1" x="383"/>
        <item m="1" x="392"/>
        <item m="1" x="452"/>
        <item m="1" x="272"/>
        <item m="1" x="291"/>
        <item m="1" x="356"/>
        <item m="1" x="57"/>
        <item m="1" x="121"/>
        <item m="1" x="102"/>
        <item m="1" x="114"/>
        <item m="1" x="158"/>
        <item m="1" x="367"/>
        <item m="1" x="398"/>
        <item m="1" x="109"/>
        <item m="1" x="351"/>
        <item m="1" x="363"/>
        <item m="1" x="384"/>
        <item m="1" x="393"/>
        <item m="1" x="115"/>
        <item m="1" x="129"/>
        <item m="1" x="146"/>
        <item m="1" x="159"/>
        <item m="1" x="172"/>
        <item m="1" x="336"/>
        <item m="1" x="357"/>
        <item m="1" x="410"/>
        <item m="1" x="122"/>
        <item m="1" x="135"/>
        <item m="1" x="150"/>
        <item m="1" x="165"/>
        <item m="1" x="177"/>
        <item m="1" x="204"/>
        <item m="1" x="217"/>
        <item m="1" x="429"/>
        <item m="1" x="442"/>
        <item m="1" x="453"/>
        <item m="1" x="470"/>
        <item m="1" x="49"/>
        <item m="1" x="58"/>
        <item m="1" x="67"/>
        <item m="1" x="75"/>
        <item m="1" x="86"/>
        <item m="1" x="211"/>
        <item m="1" x="225"/>
        <item m="1" x="236"/>
        <item m="1" x="250"/>
        <item m="1" x="266"/>
        <item m="1" x="281"/>
        <item m="1" x="299"/>
        <item m="1" x="312"/>
        <item m="1" x="322"/>
        <item m="1" x="334"/>
        <item m="1" x="437"/>
        <item m="1" x="447"/>
        <item m="1" x="461"/>
        <item m="1" x="43"/>
        <item m="1" x="53"/>
        <item m="1" x="62"/>
        <item m="1" x="70"/>
        <item m="1" x="80"/>
        <item m="1" x="91"/>
        <item m="1" x="103"/>
        <item m="1" x="231"/>
        <item m="1" x="242"/>
        <item m="1" x="257"/>
        <item m="1" x="273"/>
        <item m="1" x="292"/>
        <item m="1" x="304"/>
        <item m="1" x="314"/>
        <item m="1" x="327"/>
        <item m="1" x="337"/>
        <item m="1" x="345"/>
        <item m="1" x="454"/>
        <item m="1" x="471"/>
        <item m="1" x="50"/>
        <item m="1" x="59"/>
        <item m="1" x="68"/>
        <item m="1" x="76"/>
        <item m="1" x="87"/>
        <item m="1" x="99"/>
        <item m="1" x="110"/>
        <item m="1" x="123"/>
        <item m="1" x="251"/>
        <item m="1" x="267"/>
        <item m="1" x="282"/>
        <item m="1" x="368"/>
        <item m="1" x="379"/>
        <item m="1" x="389"/>
        <item m="1" x="399"/>
        <item m="1" x="411"/>
        <item m="1" x="424"/>
        <item m="1" x="438"/>
        <item m="1" x="448"/>
        <item m="1" x="462"/>
        <item m="1" x="136"/>
        <item m="1" x="151"/>
        <item m="1" x="166"/>
        <item m="1" x="178"/>
        <item m="1" x="191"/>
        <item m="1" x="205"/>
        <item m="1" x="218"/>
        <item m="1" x="232"/>
        <item m="1" x="243"/>
        <item m="1" x="258"/>
        <item m="1" x="375"/>
        <item m="1" x="385"/>
        <item m="1" x="394"/>
        <item m="1" x="403"/>
        <item m="1" x="418"/>
        <item m="1" x="430"/>
        <item m="1" x="443"/>
        <item m="1" x="455"/>
        <item m="1" x="472"/>
        <item m="1" x="51"/>
        <item m="1" x="160"/>
        <item m="1" x="173"/>
        <item m="1" x="185"/>
        <item m="1" x="199"/>
        <item m="1" x="212"/>
        <item m="1" x="226"/>
        <item m="1" x="237"/>
        <item m="1" x="252"/>
        <item m="1" x="268"/>
        <item m="1" x="283"/>
        <item m="1" x="390"/>
        <item m="1" x="400"/>
        <item m="1" x="412"/>
        <item m="1" x="425"/>
        <item m="1" x="439"/>
        <item m="1" x="449"/>
        <item m="1" x="463"/>
        <item m="1" x="44"/>
        <item m="1" x="54"/>
        <item m="1" x="63"/>
        <item m="1" x="179"/>
        <item m="1" x="192"/>
        <item m="1" x="206"/>
        <item m="1" x="60"/>
        <item m="1" x="69"/>
        <item m="1" x="92"/>
        <item m="1" x="104"/>
        <item m="1" x="116"/>
        <item m="1" x="130"/>
        <item m="1" x="147"/>
        <item m="1" x="161"/>
        <item m="1" x="174"/>
        <item m="1" x="186"/>
        <item m="1" x="200"/>
        <item m="1" x="413"/>
        <item m="1" x="274"/>
        <item m="1" x="293"/>
        <item m="1" x="305"/>
        <item m="1" x="315"/>
        <item m="1" x="328"/>
        <item m="1" x="338"/>
        <item m="1" x="346"/>
        <item m="1" x="358"/>
        <item m="1" x="369"/>
        <item x="40"/>
      </items>
    </pivotField>
    <pivotField axis="axisRow" compact="0" outline="0" showAll="0" defaultSubtotal="0">
      <items count="8">
        <item m="1" x="5"/>
        <item x="3"/>
        <item x="2"/>
        <item x="0"/>
        <item x="1"/>
        <item m="1" x="6"/>
        <item m="1" x="7"/>
        <item x="4"/>
      </items>
    </pivotField>
    <pivotField axis="axisRow" compact="0" outline="0" showAll="0" defaultSubtotal="0">
      <items count="4">
        <item h="1" x="2"/>
        <item x="0"/>
        <item h="1" x="1"/>
        <item h="1" x="3"/>
      </items>
    </pivotField>
  </pivotFields>
  <rowFields count="5">
    <field x="12"/>
    <field x="4"/>
    <field x="10"/>
    <field x="13"/>
    <field x="14"/>
  </rowFields>
  <rowItems count="13">
    <i>
      <x v="21"/>
      <x v="154"/>
      <x v="8"/>
      <x v="4"/>
      <x v="1"/>
    </i>
    <i>
      <x v="22"/>
      <x v="174"/>
      <x v="8"/>
      <x v="4"/>
      <x v="1"/>
    </i>
    <i>
      <x v="23"/>
      <x v="79"/>
      <x v="8"/>
      <x v="4"/>
      <x v="1"/>
    </i>
    <i r="2">
      <x v="74"/>
      <x v="4"/>
      <x v="1"/>
    </i>
    <i r="1">
      <x v="141"/>
      <x v="33"/>
      <x v="4"/>
      <x v="1"/>
    </i>
    <i r="1">
      <x v="154"/>
      <x v="8"/>
      <x v="4"/>
      <x v="1"/>
    </i>
    <i r="2">
      <x v="74"/>
      <x v="4"/>
      <x v="1"/>
    </i>
    <i r="1">
      <x v="174"/>
      <x v="52"/>
      <x v="4"/>
      <x v="1"/>
    </i>
    <i r="1">
      <x v="283"/>
      <x v="59"/>
      <x v="4"/>
      <x v="1"/>
    </i>
    <i>
      <x v="24"/>
      <x v="22"/>
      <x v="8"/>
      <x v="4"/>
      <x v="1"/>
    </i>
    <i r="2">
      <x v="74"/>
      <x v="4"/>
      <x v="1"/>
    </i>
    <i r="1">
      <x v="154"/>
      <x v="63"/>
      <x v="4"/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1" hier="-1"/>
  </pageFields>
  <dataFields count="3">
    <dataField name="Sum of Unrestricted" fld="7" baseField="0" baseItem="0"/>
    <dataField name="Sum of In Quality Insp." fld="8" baseField="0" baseItem="0"/>
    <dataField name="Sum of Blocked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gridDropZones="1" multipleFieldFilters="0">
  <location ref="A3:H464" firstHeaderRow="1" firstDataRow="2" firstDataCol="4"/>
  <pivotFields count="1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80">
        <item m="1" x="27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m="1" x="3"/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89">
        <item m="1" x="153"/>
        <item x="97"/>
        <item x="1"/>
        <item x="99"/>
        <item x="98"/>
        <item m="1" x="235"/>
        <item x="100"/>
        <item m="1" x="286"/>
        <item m="1" x="275"/>
        <item x="15"/>
        <item x="7"/>
        <item x="146"/>
        <item x="18"/>
        <item x="16"/>
        <item x="6"/>
        <item x="19"/>
        <item x="77"/>
        <item x="17"/>
        <item x="5"/>
        <item x="145"/>
        <item x="20"/>
        <item m="1" x="247"/>
        <item x="35"/>
        <item x="85"/>
        <item x="46"/>
        <item m="1" x="256"/>
        <item x="49"/>
        <item x="138"/>
        <item x="119"/>
        <item x="118"/>
        <item m="1" x="284"/>
        <item m="1" x="214"/>
        <item m="1" x="230"/>
        <item m="1" x="285"/>
        <item m="1" x="215"/>
        <item m="1" x="231"/>
        <item x="86"/>
        <item x="120"/>
        <item m="1" x="253"/>
        <item m="1" x="254"/>
        <item m="1" x="276"/>
        <item x="47"/>
        <item x="116"/>
        <item m="1" x="157"/>
        <item m="1" x="255"/>
        <item x="34"/>
        <item x="84"/>
        <item m="1" x="259"/>
        <item x="45"/>
        <item m="1" x="278"/>
        <item m="1" x="268"/>
        <item x="139"/>
        <item m="1" x="234"/>
        <item x="93"/>
        <item x="43"/>
        <item m="1" x="204"/>
        <item x="44"/>
        <item m="1" x="257"/>
        <item m="1" x="179"/>
        <item x="94"/>
        <item x="144"/>
        <item m="1" x="213"/>
        <item m="1" x="233"/>
        <item x="14"/>
        <item m="1" x="238"/>
        <item x="40"/>
        <item m="1" x="159"/>
        <item m="1" x="199"/>
        <item m="1" x="170"/>
        <item m="1" x="158"/>
        <item x="12"/>
        <item x="91"/>
        <item x="88"/>
        <item x="129"/>
        <item x="107"/>
        <item m="1" x="171"/>
        <item x="41"/>
        <item x="48"/>
        <item x="111"/>
        <item x="127"/>
        <item x="108"/>
        <item m="1" x="260"/>
        <item x="109"/>
        <item m="1" x="280"/>
        <item m="1" x="177"/>
        <item m="1" x="189"/>
        <item x="81"/>
        <item m="1" x="277"/>
        <item m="1" x="245"/>
        <item x="38"/>
        <item m="1" x="288"/>
        <item m="1" x="154"/>
        <item x="8"/>
        <item m="1" x="272"/>
        <item m="1" x="246"/>
        <item m="1" x="208"/>
        <item x="39"/>
        <item m="1" x="175"/>
        <item m="1" x="258"/>
        <item m="1" x="209"/>
        <item m="1" x="210"/>
        <item x="11"/>
        <item x="89"/>
        <item x="87"/>
        <item m="1" x="172"/>
        <item x="130"/>
        <item x="106"/>
        <item m="1" x="191"/>
        <item m="1" x="186"/>
        <item x="33"/>
        <item m="1" x="263"/>
        <item x="76"/>
        <item m="1" x="237"/>
        <item m="1" x="165"/>
        <item m="1" x="202"/>
        <item x="28"/>
        <item m="1" x="160"/>
        <item m="1" x="248"/>
        <item m="1" x="279"/>
        <item x="74"/>
        <item x="58"/>
        <item x="59"/>
        <item x="61"/>
        <item x="62"/>
        <item x="60"/>
        <item m="1" x="201"/>
        <item m="1" x="203"/>
        <item x="63"/>
        <item x="68"/>
        <item m="1" x="168"/>
        <item x="140"/>
        <item x="142"/>
        <item x="64"/>
        <item x="65"/>
        <item x="66"/>
        <item x="67"/>
        <item x="141"/>
        <item x="143"/>
        <item x="135"/>
        <item x="136"/>
        <item x="103"/>
        <item x="134"/>
        <item x="22"/>
        <item x="21"/>
        <item x="31"/>
        <item m="1" x="166"/>
        <item m="1" x="185"/>
        <item m="1" x="222"/>
        <item m="1" x="206"/>
        <item m="1" x="242"/>
        <item m="1" x="182"/>
        <item m="1" x="219"/>
        <item x="115"/>
        <item m="1" x="216"/>
        <item m="1" x="176"/>
        <item x="114"/>
        <item m="1" x="194"/>
        <item x="137"/>
        <item x="82"/>
        <item x="133"/>
        <item x="75"/>
        <item m="1" x="195"/>
        <item m="1" x="232"/>
        <item x="32"/>
        <item x="24"/>
        <item m="1" x="200"/>
        <item x="73"/>
        <item x="95"/>
        <item m="1" x="161"/>
        <item x="83"/>
        <item m="1" x="226"/>
        <item x="37"/>
        <item x="42"/>
        <item x="113"/>
        <item m="1" x="269"/>
        <item x="70"/>
        <item x="69"/>
        <item x="29"/>
        <item x="30"/>
        <item m="1" x="283"/>
        <item m="1" x="225"/>
        <item x="101"/>
        <item m="1" x="282"/>
        <item x="90"/>
        <item m="1" x="251"/>
        <item x="104"/>
        <item x="110"/>
        <item x="124"/>
        <item x="147"/>
        <item m="1" x="162"/>
        <item x="13"/>
        <item m="1" x="212"/>
        <item m="1" x="183"/>
        <item m="1" x="223"/>
        <item m="1" x="207"/>
        <item m="1" x="271"/>
        <item x="71"/>
        <item x="27"/>
        <item x="126"/>
        <item x="125"/>
        <item x="51"/>
        <item x="112"/>
        <item m="1" x="224"/>
        <item x="10"/>
        <item x="148"/>
        <item x="36"/>
        <item m="1" x="198"/>
        <item m="1" x="270"/>
        <item m="1" x="181"/>
        <item x="117"/>
        <item m="1" x="163"/>
        <item x="23"/>
        <item m="1" x="196"/>
        <item m="1" x="167"/>
        <item m="1" x="239"/>
        <item m="1" x="184"/>
        <item x="72"/>
        <item m="1" x="227"/>
        <item m="1" x="241"/>
        <item m="1" x="220"/>
        <item m="1" x="240"/>
        <item x="80"/>
        <item x="79"/>
        <item x="128"/>
        <item x="9"/>
        <item x="150"/>
        <item m="1" x="211"/>
        <item x="92"/>
        <item x="96"/>
        <item x="50"/>
        <item x="102"/>
        <item x="78"/>
        <item m="1" x="244"/>
        <item x="151"/>
        <item x="149"/>
        <item m="1" x="164"/>
        <item m="1" x="155"/>
        <item m="1" x="197"/>
        <item x="26"/>
        <item x="25"/>
        <item m="1" x="221"/>
        <item m="1" x="266"/>
        <item m="1" x="262"/>
        <item m="1" x="250"/>
        <item m="1" x="229"/>
        <item m="1" x="267"/>
        <item m="1" x="192"/>
        <item m="1" x="264"/>
        <item m="1" x="187"/>
        <item m="1" x="217"/>
        <item m="1" x="281"/>
        <item m="1" x="261"/>
        <item m="1" x="156"/>
        <item m="1" x="173"/>
        <item m="1" x="273"/>
        <item m="1" x="178"/>
        <item m="1" x="190"/>
        <item m="1" x="193"/>
        <item m="1" x="265"/>
        <item m="1" x="180"/>
        <item m="1" x="188"/>
        <item m="1" x="218"/>
        <item x="131"/>
        <item x="132"/>
        <item x="56"/>
        <item m="1" x="274"/>
        <item x="4"/>
        <item x="3"/>
        <item x="105"/>
        <item m="1" x="243"/>
        <item m="1" x="249"/>
        <item x="52"/>
        <item x="54"/>
        <item x="122"/>
        <item m="1" x="228"/>
        <item m="1" x="169"/>
        <item m="1" x="252"/>
        <item x="55"/>
        <item x="123"/>
        <item m="1" x="287"/>
        <item x="57"/>
        <item x="0"/>
        <item x="2"/>
        <item x="53"/>
        <item x="121"/>
        <item m="1" x="205"/>
        <item m="1" x="236"/>
        <item m="1" x="174"/>
        <item x="15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2"/>
        <item x="0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"/>
    <field x="4"/>
    <field x="2"/>
    <field x="14"/>
  </rowFields>
  <rowItems count="460">
    <i>
      <x v="1"/>
      <x v="281"/>
      <x v="1"/>
      <x v="1"/>
    </i>
    <i r="3">
      <x v="2"/>
    </i>
    <i r="2">
      <x v="2"/>
      <x v="1"/>
    </i>
    <i>
      <x v="2"/>
      <x v="2"/>
      <x v="2"/>
      <x v="1"/>
    </i>
    <i>
      <x v="3"/>
      <x v="282"/>
      <x v="1"/>
      <x v="2"/>
    </i>
    <i r="2">
      <x v="2"/>
      <x v="1"/>
    </i>
    <i>
      <x v="4"/>
      <x v="281"/>
      <x v="1"/>
      <x v="2"/>
    </i>
    <i r="2">
      <x v="2"/>
      <x v="1"/>
    </i>
    <i>
      <x v="5"/>
      <x v="2"/>
      <x v="2"/>
      <x v="1"/>
    </i>
    <i>
      <x v="6"/>
      <x v="267"/>
      <x v="1"/>
      <x v="2"/>
    </i>
    <i>
      <x v="7"/>
      <x v="266"/>
      <x v="1"/>
      <x v="1"/>
    </i>
    <i>
      <x v="8"/>
      <x v="18"/>
      <x v="1"/>
      <x v="1"/>
    </i>
    <i r="2">
      <x v="2"/>
      <x v="1"/>
    </i>
    <i>
      <x v="9"/>
      <x v="14"/>
      <x v="1"/>
      <x v="1"/>
    </i>
    <i r="3">
      <x v="2"/>
    </i>
    <i r="2">
      <x v="2"/>
      <x v="1"/>
    </i>
    <i>
      <x v="10"/>
      <x v="10"/>
      <x v="1"/>
      <x v="1"/>
    </i>
    <i r="3">
      <x v="2"/>
    </i>
    <i r="2">
      <x v="2"/>
      <x v="1"/>
    </i>
    <i>
      <x v="11"/>
      <x v="92"/>
      <x v="1"/>
      <x/>
    </i>
    <i>
      <x v="12"/>
      <x v="224"/>
      <x v="1"/>
      <x v="2"/>
    </i>
    <i>
      <x v="13"/>
      <x v="203"/>
      <x v="2"/>
      <x v="1"/>
    </i>
    <i>
      <x v="14"/>
      <x v="101"/>
      <x v="2"/>
      <x v="1"/>
    </i>
    <i>
      <x v="15"/>
      <x v="70"/>
      <x v="2"/>
      <x v="1"/>
    </i>
    <i>
      <x v="16"/>
      <x v="190"/>
      <x v="1"/>
      <x v="2"/>
    </i>
    <i r="2">
      <x v="2"/>
      <x v="1"/>
    </i>
    <i>
      <x v="17"/>
      <x v="63"/>
      <x v="1"/>
      <x/>
    </i>
    <i r="3">
      <x v="1"/>
    </i>
    <i r="2">
      <x v="2"/>
      <x v="1"/>
    </i>
    <i>
      <x v="18"/>
      <x v="9"/>
      <x v="1"/>
      <x v="2"/>
    </i>
    <i r="2">
      <x v="2"/>
      <x v="1"/>
    </i>
    <i>
      <x v="19"/>
      <x v="13"/>
      <x v="2"/>
      <x v="1"/>
    </i>
    <i>
      <x v="20"/>
      <x v="17"/>
      <x v="1"/>
      <x v="2"/>
    </i>
    <i r="2">
      <x v="2"/>
      <x v="1"/>
    </i>
    <i>
      <x v="21"/>
      <x v="12"/>
      <x v="1"/>
      <x v="1"/>
    </i>
    <i r="3">
      <x v="2"/>
    </i>
    <i r="2">
      <x v="2"/>
      <x v="1"/>
    </i>
    <i>
      <x v="22"/>
      <x v="15"/>
      <x v="1"/>
      <x v="1"/>
    </i>
    <i r="3">
      <x v="2"/>
    </i>
    <i>
      <x v="23"/>
      <x v="20"/>
      <x v="2"/>
      <x v="1"/>
    </i>
    <i>
      <x v="24"/>
      <x v="143"/>
      <x v="2"/>
      <x v="1"/>
    </i>
    <i>
      <x v="25"/>
      <x v="142"/>
      <x v="1"/>
      <x v="2"/>
    </i>
    <i>
      <x v="26"/>
      <x v="142"/>
      <x v="2"/>
      <x v="1"/>
    </i>
    <i>
      <x v="27"/>
      <x v="281"/>
      <x v="1"/>
      <x v="2"/>
    </i>
    <i>
      <x v="28"/>
      <x v="211"/>
      <x v="1"/>
      <x v="1"/>
    </i>
    <i r="3">
      <x v="2"/>
    </i>
    <i>
      <x v="29"/>
      <x v="164"/>
      <x v="1"/>
      <x v="1"/>
    </i>
    <i r="2">
      <x v="2"/>
      <x v="1"/>
    </i>
    <i>
      <x v="30"/>
      <x v="239"/>
      <x v="1"/>
      <x v="1"/>
    </i>
    <i r="2">
      <x v="2"/>
      <x v="1"/>
    </i>
    <i>
      <x v="31"/>
      <x v="238"/>
      <x v="1"/>
      <x v="1"/>
    </i>
    <i>
      <x v="32"/>
      <x v="197"/>
      <x v="1"/>
      <x v="1"/>
    </i>
    <i r="2">
      <x v="2"/>
      <x v="1"/>
    </i>
    <i>
      <x v="33"/>
      <x v="143"/>
      <x v="1"/>
      <x v="2"/>
    </i>
    <i>
      <x v="34"/>
      <x v="143"/>
      <x v="1"/>
      <x v="2"/>
    </i>
    <i r="2">
      <x v="2"/>
      <x/>
    </i>
    <i>
      <x v="35"/>
      <x v="143"/>
      <x v="1"/>
      <x/>
    </i>
    <i r="3">
      <x v="2"/>
    </i>
    <i r="2">
      <x v="2"/>
      <x/>
    </i>
    <i>
      <x v="36"/>
      <x v="115"/>
      <x v="1"/>
      <x v="1"/>
    </i>
    <i>
      <x v="37"/>
      <x v="143"/>
      <x v="1"/>
      <x v="1"/>
    </i>
    <i r="2">
      <x v="2"/>
      <x v="1"/>
    </i>
    <i>
      <x v="38"/>
      <x v="143"/>
      <x v="1"/>
      <x v="1"/>
    </i>
    <i r="2">
      <x v="2"/>
      <x v="1"/>
    </i>
    <i>
      <x v="39"/>
      <x v="177"/>
      <x v="1"/>
      <x v="1"/>
    </i>
    <i r="3">
      <x v="2"/>
    </i>
    <i r="2">
      <x v="2"/>
      <x v="1"/>
    </i>
    <i>
      <x v="40"/>
      <x v="177"/>
      <x v="1"/>
      <x v="1"/>
    </i>
    <i>
      <x v="41"/>
      <x v="143"/>
      <x v="1"/>
      <x v="1"/>
    </i>
    <i>
      <x v="42"/>
      <x v="177"/>
      <x v="1"/>
      <x v="2"/>
    </i>
    <i>
      <x v="43"/>
      <x v="178"/>
      <x v="1"/>
      <x v="1"/>
    </i>
    <i r="2">
      <x v="2"/>
      <x v="1"/>
    </i>
    <i>
      <x v="44"/>
      <x v="144"/>
      <x v="1"/>
      <x v="1"/>
    </i>
    <i r="2">
      <x v="2"/>
      <x v="1"/>
    </i>
    <i>
      <x v="45"/>
      <x v="143"/>
      <x v="2"/>
      <x v="1"/>
    </i>
    <i>
      <x v="46"/>
      <x v="211"/>
      <x v="1"/>
      <x v="1"/>
    </i>
    <i r="2">
      <x v="2"/>
      <x v="1"/>
    </i>
    <i>
      <x v="47"/>
      <x v="163"/>
      <x v="1"/>
      <x v="2"/>
    </i>
    <i r="2">
      <x v="2"/>
      <x v="1"/>
    </i>
    <i>
      <x v="48"/>
      <x v="177"/>
      <x v="1"/>
      <x v="1"/>
    </i>
    <i r="2">
      <x v="2"/>
      <x v="1"/>
    </i>
    <i>
      <x v="49"/>
      <x v="109"/>
      <x v="1"/>
      <x v="2"/>
    </i>
    <i r="2">
      <x v="2"/>
      <x v="1"/>
    </i>
    <i>
      <x v="50"/>
      <x v="164"/>
      <x v="1"/>
      <x v="1"/>
    </i>
    <i>
      <x v="51"/>
      <x v="45"/>
      <x v="1"/>
      <x v="2"/>
    </i>
    <i>
      <x v="52"/>
      <x v="22"/>
      <x v="1"/>
      <x v="2"/>
    </i>
    <i>
      <x v="53"/>
      <x v="164"/>
      <x v="1"/>
      <x v="1"/>
    </i>
    <i>
      <x v="54"/>
      <x v="205"/>
      <x v="2"/>
      <x v="1"/>
    </i>
    <i>
      <x v="55"/>
      <x v="163"/>
      <x v="1"/>
      <x v="1"/>
    </i>
    <i>
      <x v="56"/>
      <x v="171"/>
      <x v="2"/>
      <x v="1"/>
    </i>
    <i>
      <x v="57"/>
      <x v="89"/>
      <x v="1"/>
      <x v="1"/>
    </i>
    <i r="3">
      <x v="2"/>
    </i>
    <i r="2">
      <x v="2"/>
      <x v="1"/>
    </i>
    <i>
      <x v="58"/>
      <x v="96"/>
      <x v="1"/>
      <x v="1"/>
    </i>
    <i r="2">
      <x v="2"/>
      <x v="1"/>
    </i>
    <i>
      <x v="59"/>
      <x v="65"/>
      <x v="1"/>
      <x v="1"/>
    </i>
    <i r="2">
      <x v="2"/>
      <x v="1"/>
    </i>
    <i>
      <x v="60"/>
      <x v="65"/>
      <x v="1"/>
      <x v="1"/>
    </i>
    <i>
      <x v="61"/>
      <x v="76"/>
      <x v="1"/>
      <x v="2"/>
    </i>
    <i r="2">
      <x v="2"/>
      <x v="1"/>
    </i>
    <i>
      <x v="62"/>
      <x v="172"/>
      <x v="1"/>
      <x v="1"/>
    </i>
    <i r="2">
      <x v="2"/>
      <x v="1"/>
    </i>
    <i>
      <x v="63"/>
      <x v="54"/>
      <x v="1"/>
      <x v="2"/>
    </i>
    <i>
      <x v="64"/>
      <x v="56"/>
      <x v="1"/>
      <x v="2"/>
    </i>
    <i r="2">
      <x v="2"/>
      <x v="1"/>
    </i>
    <i>
      <x v="65"/>
      <x v="48"/>
      <x v="1"/>
      <x v="2"/>
    </i>
    <i r="2">
      <x v="2"/>
      <x v="1"/>
    </i>
    <i>
      <x v="66"/>
      <x v="24"/>
      <x v="1"/>
      <x v="2"/>
    </i>
    <i>
      <x v="67"/>
      <x v="24"/>
      <x v="1"/>
      <x v="1"/>
    </i>
    <i r="3">
      <x v="2"/>
    </i>
    <i r="2">
      <x v="2"/>
      <x v="1"/>
    </i>
    <i>
      <x v="68"/>
      <x v="41"/>
      <x v="1"/>
      <x v="2"/>
    </i>
    <i>
      <x v="69"/>
      <x v="41"/>
      <x v="1"/>
      <x v="2"/>
    </i>
    <i r="2">
      <x v="2"/>
      <x v="1"/>
    </i>
    <i>
      <x v="70"/>
      <x v="77"/>
      <x v="1"/>
      <x v="2"/>
    </i>
    <i r="2">
      <x v="2"/>
      <x v="1"/>
    </i>
    <i>
      <x v="71"/>
      <x v="142"/>
      <x v="1"/>
      <x v="1"/>
    </i>
    <i r="3">
      <x v="2"/>
    </i>
    <i r="2">
      <x v="2"/>
      <x v="1"/>
    </i>
    <i>
      <x v="72"/>
      <x v="142"/>
      <x v="1"/>
      <x v="1"/>
    </i>
    <i r="3">
      <x v="2"/>
    </i>
    <i>
      <x v="73"/>
      <x v="26"/>
      <x v="1"/>
      <x v="2"/>
    </i>
    <i r="2">
      <x v="2"/>
      <x v="1"/>
    </i>
    <i>
      <x v="74"/>
      <x v="171"/>
      <x v="1"/>
      <x/>
    </i>
    <i>
      <x v="75"/>
      <x v="171"/>
      <x v="2"/>
      <x v="1"/>
    </i>
    <i>
      <x v="76"/>
      <x v="142"/>
      <x v="1"/>
      <x v="1"/>
    </i>
    <i r="3">
      <x v="2"/>
    </i>
    <i r="2">
      <x v="2"/>
      <x v="1"/>
    </i>
    <i>
      <x v="77"/>
      <x v="211"/>
      <x v="2"/>
      <x v="1"/>
    </i>
    <i>
      <x v="78"/>
      <x v="238"/>
      <x v="1"/>
      <x v="2"/>
    </i>
    <i>
      <x v="79"/>
      <x v="229"/>
      <x v="1"/>
      <x v="2"/>
    </i>
    <i>
      <x v="80"/>
      <x v="163"/>
      <x v="1"/>
      <x v="1"/>
    </i>
    <i>
      <x v="81"/>
      <x v="200"/>
      <x v="1"/>
      <x v="1"/>
    </i>
    <i r="3">
      <x v="2"/>
    </i>
    <i>
      <x v="82"/>
      <x v="177"/>
      <x v="2"/>
      <x v="1"/>
    </i>
    <i>
      <x v="83"/>
      <x v="271"/>
      <x v="1"/>
      <x v="2"/>
    </i>
    <i>
      <x v="84"/>
      <x v="283"/>
      <x v="1"/>
      <x v="2"/>
    </i>
    <i>
      <x v="85"/>
      <x v="272"/>
      <x v="1"/>
      <x v="1"/>
    </i>
    <i r="3">
      <x v="2"/>
    </i>
    <i r="2">
      <x v="2"/>
      <x v="1"/>
    </i>
    <i>
      <x v="86"/>
      <x v="277"/>
      <x v="1"/>
      <x v="1"/>
    </i>
    <i r="2">
      <x v="2"/>
      <x v="1"/>
    </i>
    <i>
      <x v="87"/>
      <x v="277"/>
      <x v="1"/>
      <x v="2"/>
    </i>
    <i>
      <x v="88"/>
      <x v="264"/>
      <x v="1"/>
      <x v="1"/>
    </i>
    <i r="3">
      <x v="2"/>
    </i>
    <i r="2">
      <x v="2"/>
      <x v="1"/>
    </i>
    <i>
      <x v="89"/>
      <x v="280"/>
      <x v="1"/>
      <x v="1"/>
    </i>
    <i r="3">
      <x v="2"/>
    </i>
    <i r="2">
      <x v="2"/>
      <x v="1"/>
    </i>
    <i>
      <x v="90"/>
      <x v="120"/>
      <x v="1"/>
      <x v="1"/>
    </i>
    <i r="2">
      <x v="2"/>
      <x v="1"/>
    </i>
    <i>
      <x v="91"/>
      <x v="121"/>
      <x v="1"/>
      <x v="1"/>
    </i>
    <i r="2">
      <x v="2"/>
      <x v="1"/>
    </i>
    <i>
      <x v="92"/>
      <x v="124"/>
      <x v="2"/>
      <x v="1"/>
    </i>
    <i>
      <x v="93"/>
      <x v="122"/>
      <x v="1"/>
      <x v="2"/>
    </i>
    <i>
      <x v="94"/>
      <x v="123"/>
      <x v="2"/>
      <x v="1"/>
    </i>
    <i>
      <x v="95"/>
      <x v="127"/>
      <x v="1"/>
      <x v="2"/>
    </i>
    <i r="2">
      <x v="2"/>
      <x v="1"/>
    </i>
    <i>
      <x v="96"/>
      <x v="132"/>
      <x v="1"/>
      <x v="2"/>
    </i>
    <i>
      <x v="97"/>
      <x v="133"/>
      <x v="1"/>
      <x v="1"/>
    </i>
    <i r="3">
      <x v="2"/>
    </i>
    <i>
      <x v="98"/>
      <x v="133"/>
      <x v="1"/>
      <x v="1"/>
    </i>
    <i r="3">
      <x v="2"/>
    </i>
    <i>
      <x v="99"/>
      <x v="134"/>
      <x v="1"/>
      <x/>
    </i>
    <i r="3">
      <x v="2"/>
    </i>
    <i>
      <x v="100"/>
      <x v="135"/>
      <x v="2"/>
      <x v="1"/>
    </i>
    <i>
      <x v="101"/>
      <x v="128"/>
      <x v="1"/>
      <x v="2"/>
    </i>
    <i r="2">
      <x v="2"/>
      <x v="1"/>
    </i>
    <i>
      <x v="102"/>
      <x v="211"/>
      <x v="1"/>
      <x v="1"/>
    </i>
    <i r="3">
      <x v="2"/>
    </i>
    <i r="2">
      <x v="2"/>
      <x v="1"/>
    </i>
    <i>
      <x v="103"/>
      <x v="176"/>
      <x v="1"/>
      <x v="1"/>
    </i>
    <i r="3">
      <x v="2"/>
    </i>
    <i>
      <x v="104"/>
      <x v="175"/>
      <x v="1"/>
      <x v="2"/>
    </i>
    <i>
      <x v="105"/>
      <x v="175"/>
      <x v="2"/>
      <x v="1"/>
    </i>
    <i>
      <x v="106"/>
      <x v="196"/>
      <x v="1"/>
      <x v="1"/>
    </i>
    <i r="2">
      <x v="2"/>
      <x v="1"/>
    </i>
    <i>
      <x v="107"/>
      <x v="238"/>
      <x v="1"/>
      <x v="2"/>
    </i>
    <i>
      <x v="108"/>
      <x v="216"/>
      <x v="1"/>
      <x v="1"/>
    </i>
    <i r="3">
      <x v="2"/>
    </i>
    <i>
      <x v="109"/>
      <x v="163"/>
      <x v="1"/>
      <x v="1"/>
    </i>
    <i r="2">
      <x v="2"/>
      <x v="1"/>
    </i>
    <i>
      <x v="110"/>
      <x v="211"/>
      <x v="1"/>
      <x v="1"/>
    </i>
    <i r="3">
      <x v="2"/>
    </i>
    <i>
      <x v="111"/>
      <x v="171"/>
      <x v="1"/>
      <x/>
    </i>
    <i r="3">
      <x v="2"/>
    </i>
    <i>
      <x v="112"/>
      <x v="166"/>
      <x v="1"/>
      <x v="1"/>
    </i>
    <i r="2">
      <x v="2"/>
      <x v="1"/>
    </i>
    <i>
      <x v="113"/>
      <x v="119"/>
      <x v="1"/>
      <x v="1"/>
    </i>
    <i>
      <x v="114"/>
      <x v="164"/>
      <x v="2"/>
      <x v="1"/>
    </i>
    <i>
      <x v="115"/>
      <x v="197"/>
      <x v="1"/>
      <x v="1"/>
    </i>
    <i r="2">
      <x v="2"/>
      <x v="1"/>
    </i>
    <i>
      <x v="116"/>
      <x v="164"/>
      <x v="1"/>
      <x v="1"/>
    </i>
    <i r="2">
      <x v="2"/>
      <x v="1"/>
    </i>
    <i>
      <x v="117"/>
      <x v="160"/>
      <x v="1"/>
      <x v="2"/>
    </i>
    <i>
      <x v="118"/>
      <x v="160"/>
      <x v="1"/>
      <x v="1"/>
    </i>
    <i r="2">
      <x v="2"/>
      <x v="1"/>
    </i>
    <i>
      <x v="119"/>
      <x v="171"/>
      <x v="1"/>
      <x v="2"/>
    </i>
    <i>
      <x v="120"/>
      <x v="171"/>
      <x v="1"/>
      <x v="1"/>
    </i>
    <i r="2">
      <x v="2"/>
      <x v="1"/>
    </i>
    <i>
      <x v="121"/>
      <x v="111"/>
      <x v="1"/>
      <x v="1"/>
    </i>
    <i r="2">
      <x v="2"/>
      <x v="1"/>
    </i>
    <i>
      <x v="122"/>
      <x v="197"/>
      <x v="1"/>
      <x v="1"/>
    </i>
    <i>
      <x v="123"/>
      <x v="16"/>
      <x v="1"/>
      <x/>
    </i>
    <i r="3">
      <x v="1"/>
    </i>
    <i r="3">
      <x v="2"/>
    </i>
    <i r="2">
      <x v="2"/>
      <x v="1"/>
    </i>
    <i>
      <x v="124"/>
      <x v="231"/>
      <x v="1"/>
      <x v="1"/>
    </i>
    <i r="2">
      <x v="2"/>
      <x v="1"/>
    </i>
    <i>
      <x v="125"/>
      <x v="222"/>
      <x v="1"/>
      <x/>
    </i>
    <i>
      <x v="126"/>
      <x v="221"/>
      <x v="1"/>
      <x v="2"/>
    </i>
    <i r="2">
      <x v="2"/>
      <x v="1"/>
    </i>
    <i>
      <x v="127"/>
      <x v="175"/>
      <x v="1"/>
      <x v="1"/>
    </i>
    <i>
      <x v="128"/>
      <x v="86"/>
      <x v="1"/>
      <x v="2"/>
    </i>
    <i>
      <x v="129"/>
      <x v="222"/>
      <x v="1"/>
      <x/>
    </i>
    <i r="3">
      <x v="2"/>
    </i>
    <i r="2">
      <x v="2"/>
      <x v="1"/>
    </i>
    <i>
      <x v="130"/>
      <x v="222"/>
      <x v="1"/>
      <x v="1"/>
    </i>
    <i r="3">
      <x v="2"/>
    </i>
    <i>
      <x v="131"/>
      <x v="158"/>
      <x v="2"/>
      <x v="1"/>
    </i>
    <i>
      <x v="132"/>
      <x v="169"/>
      <x v="1"/>
      <x v="2"/>
    </i>
    <i r="2">
      <x v="2"/>
      <x v="1"/>
    </i>
    <i>
      <x v="133"/>
      <x v="46"/>
      <x v="1"/>
      <x v="1"/>
    </i>
    <i>
      <x v="134"/>
      <x v="23"/>
      <x v="1"/>
      <x v="1"/>
    </i>
    <i r="3">
      <x v="2"/>
    </i>
    <i r="2">
      <x v="2"/>
      <x v="1"/>
    </i>
    <i>
      <x v="135"/>
      <x v="36"/>
      <x v="2"/>
      <x v="1"/>
    </i>
    <i>
      <x v="136"/>
      <x v="103"/>
      <x v="1"/>
      <x v="1"/>
    </i>
    <i>
      <x v="137"/>
      <x v="72"/>
      <x v="1"/>
      <x v="1"/>
    </i>
    <i r="2">
      <x v="2"/>
      <x v="1"/>
    </i>
    <i>
      <x v="138"/>
      <x v="102"/>
      <x v="1"/>
      <x v="2"/>
    </i>
    <i r="2">
      <x v="2"/>
      <x v="1"/>
    </i>
    <i>
      <x v="139"/>
      <x v="183"/>
      <x v="1"/>
      <x v="1"/>
    </i>
    <i r="3">
      <x v="2"/>
    </i>
    <i>
      <x v="140"/>
      <x v="71"/>
      <x v="1"/>
      <x v="1"/>
    </i>
    <i>
      <x v="141"/>
      <x v="227"/>
      <x v="1"/>
      <x v="1"/>
    </i>
    <i r="3">
      <x v="2"/>
    </i>
    <i>
      <x v="142"/>
      <x v="53"/>
      <x v="2"/>
      <x v="1"/>
    </i>
    <i>
      <x v="143"/>
      <x v="59"/>
      <x v="1"/>
      <x v="2"/>
    </i>
    <i r="2">
      <x v="2"/>
      <x v="1"/>
    </i>
    <i>
      <x v="144"/>
      <x v="172"/>
      <x v="2"/>
      <x v="1"/>
    </i>
    <i>
      <x v="145"/>
      <x v="164"/>
      <x v="1"/>
      <x v="1"/>
    </i>
    <i r="2">
      <x v="2"/>
      <x v="1"/>
    </i>
    <i>
      <x v="146"/>
      <x v="239"/>
      <x v="2"/>
      <x v="1"/>
    </i>
    <i>
      <x v="147"/>
      <x v="172"/>
      <x v="1"/>
      <x v="1"/>
    </i>
    <i r="3">
      <x v="2"/>
    </i>
    <i r="2">
      <x v="2"/>
      <x v="1"/>
    </i>
    <i>
      <x v="148"/>
      <x v="231"/>
      <x v="1"/>
      <x v="1"/>
    </i>
    <i>
      <x v="149"/>
      <x v="167"/>
      <x v="1"/>
      <x v="1"/>
    </i>
    <i r="2">
      <x v="2"/>
      <x v="1"/>
    </i>
    <i>
      <x v="150"/>
      <x v="164"/>
      <x v="1"/>
      <x v="2"/>
    </i>
    <i>
      <x v="151"/>
      <x v="239"/>
      <x v="1"/>
      <x v="1"/>
    </i>
    <i r="3">
      <x v="2"/>
    </i>
    <i r="2">
      <x v="2"/>
      <x v="1"/>
    </i>
    <i>
      <x v="152"/>
      <x v="172"/>
      <x v="2"/>
      <x v="1"/>
    </i>
    <i>
      <x v="153"/>
      <x v="167"/>
      <x v="1"/>
      <x v="1"/>
    </i>
    <i r="3">
      <x v="2"/>
    </i>
    <i r="2">
      <x v="2"/>
      <x v="1"/>
    </i>
    <i>
      <x v="154"/>
      <x v="164"/>
      <x v="2"/>
      <x v="1"/>
    </i>
    <i>
      <x v="155"/>
      <x v="239"/>
      <x v="1"/>
      <x v="2"/>
    </i>
    <i>
      <x v="156"/>
      <x v="172"/>
      <x v="1"/>
      <x v="1"/>
    </i>
    <i r="3">
      <x v="2"/>
    </i>
    <i>
      <x v="157"/>
      <x v="167"/>
      <x v="2"/>
      <x v="1"/>
    </i>
    <i>
      <x v="158"/>
      <x v="164"/>
      <x v="1"/>
      <x v="1"/>
    </i>
    <i>
      <x v="159"/>
      <x v="239"/>
      <x v="1"/>
      <x v="1"/>
    </i>
    <i r="2">
      <x v="2"/>
      <x v="1"/>
    </i>
    <i>
      <x v="160"/>
      <x v="197"/>
      <x v="1"/>
      <x v="2"/>
    </i>
    <i r="2">
      <x v="2"/>
      <x v="1"/>
    </i>
    <i>
      <x v="161"/>
      <x v="143"/>
      <x v="1"/>
      <x v="1"/>
    </i>
    <i r="3">
      <x v="2"/>
    </i>
    <i r="2">
      <x v="2"/>
      <x v="1"/>
    </i>
    <i>
      <x v="162"/>
      <x v="197"/>
      <x v="1"/>
      <x v="1"/>
    </i>
    <i>
      <x v="163"/>
      <x v="197"/>
      <x v="1"/>
      <x v="1"/>
    </i>
    <i r="3">
      <x v="2"/>
    </i>
    <i r="2">
      <x v="2"/>
      <x v="1"/>
    </i>
    <i>
      <x v="164"/>
      <x v="143"/>
      <x v="1"/>
      <x v="1"/>
    </i>
    <i r="2">
      <x v="2"/>
      <x v="1"/>
    </i>
    <i>
      <x v="165"/>
      <x v="197"/>
      <x v="1"/>
      <x v="1"/>
    </i>
    <i r="3">
      <x v="2"/>
    </i>
    <i r="2">
      <x v="2"/>
      <x v="1"/>
    </i>
    <i>
      <x v="166"/>
      <x v="143"/>
      <x v="1"/>
      <x v="2"/>
    </i>
    <i r="2">
      <x v="2"/>
      <x v="1"/>
    </i>
    <i>
      <x v="167"/>
      <x v="228"/>
      <x v="1"/>
      <x v="1"/>
    </i>
    <i r="3">
      <x v="2"/>
    </i>
    <i>
      <x v="168"/>
      <x v="1"/>
      <x v="1"/>
      <x/>
    </i>
    <i>
      <x v="169"/>
      <x v="1"/>
      <x v="1"/>
      <x v="2"/>
    </i>
    <i>
      <x v="170"/>
      <x v="4"/>
      <x v="1"/>
      <x v="2"/>
    </i>
    <i>
      <x v="171"/>
      <x v="4"/>
      <x v="1"/>
      <x/>
    </i>
    <i r="2">
      <x v="2"/>
      <x v="1"/>
    </i>
    <i>
      <x v="172"/>
      <x v="4"/>
      <x v="1"/>
      <x v="2"/>
    </i>
    <i>
      <x v="173"/>
      <x v="3"/>
      <x v="1"/>
      <x v="2"/>
    </i>
    <i r="2">
      <x v="2"/>
      <x v="1"/>
    </i>
    <i>
      <x v="174"/>
      <x v="6"/>
      <x v="1"/>
      <x v="2"/>
    </i>
    <i r="2">
      <x v="2"/>
      <x v="1"/>
    </i>
    <i>
      <x v="175"/>
      <x v="181"/>
      <x v="1"/>
      <x v="2"/>
    </i>
    <i>
      <x v="176"/>
      <x v="230"/>
      <x v="1"/>
      <x v="2"/>
    </i>
    <i>
      <x v="177"/>
      <x v="140"/>
      <x v="1"/>
      <x v="1"/>
    </i>
    <i>
      <x v="178"/>
      <x v="140"/>
      <x v="2"/>
      <x v="1"/>
    </i>
    <i>
      <x v="179"/>
      <x v="140"/>
      <x v="1"/>
      <x v="1"/>
    </i>
    <i>
      <x v="180"/>
      <x v="183"/>
      <x v="1"/>
      <x v="1"/>
    </i>
    <i>
      <x v="181"/>
      <x v="183"/>
      <x v="1"/>
      <x v="1"/>
    </i>
    <i>
      <x v="182"/>
      <x v="185"/>
      <x v="1"/>
      <x v="2"/>
    </i>
    <i>
      <x v="183"/>
      <x v="227"/>
      <x v="1"/>
      <x v="1"/>
    </i>
    <i>
      <x v="184"/>
      <x v="185"/>
      <x v="1"/>
      <x v="1"/>
    </i>
    <i>
      <x v="185"/>
      <x v="268"/>
      <x v="2"/>
      <x v="1"/>
    </i>
    <i>
      <x v="186"/>
      <x v="106"/>
      <x v="2"/>
      <x v="1"/>
    </i>
    <i>
      <x v="187"/>
      <x v="74"/>
      <x v="2"/>
      <x v="1"/>
    </i>
    <i>
      <x v="188"/>
      <x v="80"/>
      <x v="1"/>
      <x v="1"/>
    </i>
    <i>
      <x v="189"/>
      <x v="82"/>
      <x v="1"/>
      <x v="2"/>
    </i>
    <i>
      <x v="190"/>
      <x v="82"/>
      <x v="1"/>
      <x v="2"/>
    </i>
    <i r="2">
      <x v="2"/>
      <x v="1"/>
    </i>
    <i>
      <x v="191"/>
      <x v="142"/>
      <x v="1"/>
      <x v="2"/>
    </i>
    <i>
      <x v="192"/>
      <x v="186"/>
      <x v="1"/>
      <x v="1"/>
    </i>
    <i r="3">
      <x v="2"/>
    </i>
    <i>
      <x v="193"/>
      <x v="78"/>
      <x v="1"/>
      <x v="2"/>
    </i>
    <i>
      <x v="194"/>
      <x v="201"/>
      <x v="1"/>
      <x v="1"/>
    </i>
    <i r="3">
      <x v="2"/>
    </i>
    <i r="2">
      <x v="2"/>
      <x v="1"/>
    </i>
    <i>
      <x v="195"/>
      <x v="227"/>
      <x v="2"/>
      <x v="1"/>
    </i>
    <i>
      <x v="196"/>
      <x v="185"/>
      <x v="2"/>
      <x v="1"/>
    </i>
    <i>
      <x v="197"/>
      <x v="173"/>
      <x v="1"/>
      <x/>
    </i>
    <i>
      <x v="198"/>
      <x v="173"/>
      <x v="1"/>
      <x v="1"/>
    </i>
    <i>
      <x v="199"/>
      <x v="155"/>
      <x v="2"/>
      <x v="1"/>
    </i>
    <i>
      <x v="200"/>
      <x v="152"/>
      <x v="2"/>
      <x v="1"/>
    </i>
    <i>
      <x v="201"/>
      <x v="42"/>
      <x v="2"/>
      <x v="1"/>
    </i>
    <i>
      <x v="202"/>
      <x v="209"/>
      <x v="2"/>
      <x v="1"/>
    </i>
    <i>
      <x v="203"/>
      <x v="29"/>
      <x v="1"/>
      <x v="1"/>
    </i>
    <i r="2">
      <x v="2"/>
      <x v="1"/>
    </i>
    <i>
      <x v="204"/>
      <x v="28"/>
      <x v="1"/>
      <x v="1"/>
    </i>
    <i r="2">
      <x v="2"/>
      <x v="1"/>
    </i>
    <i>
      <x v="205"/>
      <x v="37"/>
      <x v="1"/>
      <x/>
    </i>
    <i r="3">
      <x v="2"/>
    </i>
    <i>
      <x v="206"/>
      <x v="37"/>
      <x v="2"/>
      <x v="1"/>
    </i>
    <i>
      <x v="207"/>
      <x v="284"/>
      <x v="1"/>
      <x v="2"/>
    </i>
    <i>
      <x v="208"/>
      <x v="273"/>
      <x v="2"/>
      <x v="1"/>
    </i>
    <i>
      <x v="209"/>
      <x v="278"/>
      <x v="2"/>
      <x v="1"/>
    </i>
    <i>
      <x v="210"/>
      <x v="187"/>
      <x v="1"/>
      <x v="2"/>
    </i>
    <i>
      <x v="211"/>
      <x v="187"/>
      <x v="1"/>
      <x v="2"/>
    </i>
    <i>
      <x v="212"/>
      <x v="187"/>
      <x v="1"/>
      <x/>
    </i>
    <i r="3">
      <x v="2"/>
    </i>
    <i r="2">
      <x v="2"/>
      <x/>
    </i>
    <i>
      <x v="213"/>
      <x v="186"/>
      <x v="1"/>
      <x v="2"/>
    </i>
    <i>
      <x v="214"/>
      <x v="186"/>
      <x v="1"/>
      <x v="1"/>
    </i>
    <i r="3">
      <x v="2"/>
    </i>
    <i r="2">
      <x v="2"/>
      <x v="1"/>
    </i>
    <i>
      <x v="215"/>
      <x v="186"/>
      <x v="1"/>
      <x v="1"/>
    </i>
    <i r="2">
      <x v="2"/>
      <x v="1"/>
    </i>
    <i>
      <x v="216"/>
      <x v="199"/>
      <x v="1"/>
      <x v="1"/>
    </i>
    <i>
      <x v="217"/>
      <x v="198"/>
      <x v="1"/>
      <x v="1"/>
    </i>
    <i r="3">
      <x v="2"/>
    </i>
    <i r="2">
      <x v="2"/>
      <x v="1"/>
    </i>
    <i>
      <x v="218"/>
      <x v="79"/>
      <x v="1"/>
      <x/>
    </i>
    <i r="3">
      <x v="1"/>
    </i>
    <i r="3">
      <x v="2"/>
    </i>
    <i>
      <x v="219"/>
      <x v="142"/>
      <x v="2"/>
      <x v="1"/>
    </i>
    <i>
      <x v="220"/>
      <x v="223"/>
      <x v="1"/>
      <x v="1"/>
    </i>
    <i>
      <x v="221"/>
      <x v="73"/>
      <x v="1"/>
      <x v="1"/>
    </i>
    <i r="3">
      <x v="2"/>
    </i>
    <i>
      <x v="222"/>
      <x v="105"/>
      <x v="1"/>
      <x v="1"/>
    </i>
    <i r="2">
      <x v="2"/>
      <x v="1"/>
    </i>
    <i>
      <x v="223"/>
      <x v="143"/>
      <x v="1"/>
      <x/>
    </i>
    <i r="3">
      <x v="2"/>
    </i>
    <i>
      <x v="224"/>
      <x v="262"/>
      <x v="1"/>
      <x/>
    </i>
    <i r="3">
      <x v="2"/>
    </i>
    <i>
      <x v="225"/>
      <x v="262"/>
      <x v="1"/>
      <x/>
    </i>
    <i r="3">
      <x v="2"/>
    </i>
    <i>
      <x v="226"/>
      <x v="263"/>
      <x v="1"/>
      <x v="1"/>
    </i>
    <i r="3">
      <x v="2"/>
    </i>
    <i>
      <x v="227"/>
      <x v="263"/>
      <x v="1"/>
      <x/>
    </i>
    <i r="3">
      <x v="1"/>
    </i>
    <i r="3">
      <x v="2"/>
    </i>
    <i r="2">
      <x v="2"/>
      <x v="1"/>
    </i>
    <i>
      <x v="228"/>
      <x v="223"/>
      <x v="2"/>
      <x v="1"/>
    </i>
    <i>
      <x v="229"/>
      <x v="223"/>
      <x v="1"/>
      <x v="1"/>
    </i>
    <i r="2">
      <x v="2"/>
      <x v="1"/>
    </i>
    <i>
      <x v="230"/>
      <x v="223"/>
      <x v="1"/>
      <x v="1"/>
    </i>
    <i r="3">
      <x v="2"/>
    </i>
    <i r="2">
      <x v="2"/>
      <x v="1"/>
    </i>
    <i>
      <x v="231"/>
      <x v="159"/>
      <x v="2"/>
      <x v="1"/>
    </i>
    <i>
      <x v="232"/>
      <x v="159"/>
      <x v="1"/>
      <x v="1"/>
    </i>
    <i>
      <x v="233"/>
      <x v="159"/>
      <x v="1"/>
      <x v="2"/>
    </i>
    <i r="2">
      <x v="2"/>
      <x v="1"/>
    </i>
    <i>
      <x v="234"/>
      <x v="141"/>
      <x v="2"/>
      <x v="1"/>
    </i>
    <i>
      <x v="235"/>
      <x v="138"/>
      <x v="1"/>
      <x v="1"/>
    </i>
    <i r="3">
      <x v="2"/>
    </i>
    <i>
      <x v="236"/>
      <x v="138"/>
      <x v="1"/>
      <x v="2"/>
    </i>
    <i r="2">
      <x v="2"/>
      <x v="1"/>
    </i>
    <i>
      <x v="237"/>
      <x v="139"/>
      <x v="1"/>
      <x v="2"/>
    </i>
    <i r="2">
      <x v="2"/>
      <x v="1"/>
    </i>
    <i>
      <x v="238"/>
      <x v="139"/>
      <x v="1"/>
      <x v="1"/>
    </i>
    <i r="3">
      <x v="2"/>
    </i>
    <i r="2">
      <x v="2"/>
      <x v="1"/>
    </i>
    <i>
      <x v="239"/>
      <x v="139"/>
      <x v="2"/>
      <x v="1"/>
    </i>
    <i>
      <x v="240"/>
      <x v="139"/>
      <x v="1"/>
      <x v="1"/>
    </i>
    <i r="2">
      <x v="2"/>
      <x v="1"/>
    </i>
    <i>
      <x v="241"/>
      <x v="138"/>
      <x v="2"/>
      <x v="1"/>
    </i>
    <i>
      <x v="242"/>
      <x v="139"/>
      <x v="1"/>
      <x v="1"/>
    </i>
    <i r="3">
      <x v="2"/>
    </i>
    <i r="2">
      <x v="2"/>
      <x v="1"/>
    </i>
    <i>
      <x v="243"/>
      <x v="157"/>
      <x v="1"/>
      <x v="2"/>
    </i>
    <i>
      <x v="244"/>
      <x v="221"/>
      <x v="1"/>
      <x v="2"/>
    </i>
    <i r="2">
      <x v="2"/>
      <x v="1"/>
    </i>
    <i>
      <x v="245"/>
      <x v="27"/>
      <x v="1"/>
      <x v="1"/>
    </i>
    <i r="2">
      <x v="2"/>
      <x v="1"/>
    </i>
    <i>
      <x v="246"/>
      <x v="142"/>
      <x v="1"/>
      <x v="1"/>
    </i>
    <i r="3">
      <x v="2"/>
    </i>
    <i r="2">
      <x v="2"/>
      <x v="1"/>
    </i>
    <i>
      <x v="247"/>
      <x v="186"/>
      <x v="2"/>
      <x v="1"/>
    </i>
    <i>
      <x v="248"/>
      <x v="183"/>
      <x v="1"/>
      <x v="1"/>
    </i>
    <i r="2">
      <x v="2"/>
      <x v="1"/>
    </i>
    <i>
      <x v="249"/>
      <x v="51"/>
      <x v="1"/>
      <x v="1"/>
    </i>
    <i>
      <x v="250"/>
      <x v="130"/>
      <x v="1"/>
      <x v="1"/>
    </i>
    <i r="2">
      <x v="2"/>
      <x v="1"/>
    </i>
    <i>
      <x v="251"/>
      <x v="136"/>
      <x v="1"/>
      <x v="1"/>
    </i>
    <i>
      <x v="252"/>
      <x v="131"/>
      <x v="1"/>
      <x v="1"/>
    </i>
    <i r="2">
      <x v="2"/>
      <x v="1"/>
    </i>
    <i>
      <x v="253"/>
      <x v="137"/>
      <x v="1"/>
      <x v="1"/>
    </i>
    <i r="3">
      <x v="2"/>
    </i>
    <i>
      <x v="254"/>
      <x v="137"/>
      <x v="1"/>
      <x v="1"/>
    </i>
    <i>
      <x v="255"/>
      <x v="60"/>
      <x v="1"/>
      <x v="1"/>
    </i>
    <i r="3">
      <x v="2"/>
    </i>
    <i r="2">
      <x v="2"/>
      <x v="1"/>
    </i>
    <i>
      <x v="256"/>
      <x v="19"/>
      <x v="1"/>
      <x v="1"/>
    </i>
    <i>
      <x v="257"/>
      <x v="11"/>
      <x v="1"/>
      <x v="2"/>
    </i>
    <i>
      <x v="258"/>
      <x v="188"/>
      <x v="2"/>
      <x v="1"/>
    </i>
    <i>
      <x v="259"/>
      <x v="188"/>
      <x v="1"/>
      <x v="1"/>
    </i>
    <i r="2">
      <x v="2"/>
      <x v="1"/>
    </i>
    <i>
      <x v="260"/>
      <x v="204"/>
      <x v="1"/>
      <x/>
    </i>
    <i r="3">
      <x v="2"/>
    </i>
    <i>
      <x v="261"/>
      <x v="204"/>
      <x v="1"/>
      <x v="2"/>
    </i>
    <i>
      <x v="262"/>
      <x v="204"/>
      <x v="1"/>
      <x/>
    </i>
    <i r="3">
      <x v="2"/>
    </i>
    <i r="2">
      <x v="2"/>
      <x/>
    </i>
    <i>
      <x v="263"/>
      <x v="234"/>
      <x v="1"/>
      <x v="2"/>
    </i>
    <i>
      <x v="264"/>
      <x v="139"/>
      <x v="1"/>
      <x v="1"/>
    </i>
    <i r="3">
      <x v="2"/>
    </i>
    <i r="2">
      <x v="2"/>
      <x v="1"/>
    </i>
    <i>
      <x v="265"/>
      <x v="225"/>
      <x v="1"/>
      <x v="2"/>
    </i>
    <i>
      <x v="266"/>
      <x v="239"/>
      <x v="1"/>
      <x v="1"/>
    </i>
    <i r="3">
      <x v="2"/>
    </i>
    <i r="2">
      <x v="2"/>
      <x v="1"/>
    </i>
    <i>
      <x v="267"/>
      <x v="164"/>
      <x v="2"/>
      <x v="1"/>
    </i>
    <i>
      <x v="268"/>
      <x v="172"/>
      <x v="1"/>
      <x v="2"/>
    </i>
    <i r="2">
      <x v="2"/>
      <x v="1"/>
    </i>
    <i>
      <x v="269"/>
      <x v="197"/>
      <x v="1"/>
      <x v="1"/>
    </i>
    <i r="3">
      <x v="2"/>
    </i>
    <i>
      <x v="270"/>
      <x v="158"/>
      <x v="1"/>
      <x v="1"/>
    </i>
    <i>
      <x v="271"/>
      <x v="231"/>
      <x v="1"/>
      <x v="1"/>
    </i>
    <i r="2">
      <x v="2"/>
      <x v="1"/>
    </i>
    <i>
      <x v="272"/>
      <x v="139"/>
      <x v="1"/>
      <x v="1"/>
    </i>
    <i r="3">
      <x v="2"/>
    </i>
    <i>
      <x v="273"/>
      <x v="186"/>
      <x v="1"/>
      <x v="1"/>
    </i>
    <i r="3">
      <x v="2"/>
    </i>
    <i r="2">
      <x v="2"/>
      <x v="1"/>
    </i>
    <i>
      <x v="274"/>
      <x v="233"/>
      <x v="2"/>
      <x v="1"/>
    </i>
    <i>
      <x v="275"/>
      <x v="140"/>
      <x v="1"/>
      <x v="1"/>
    </i>
    <i>
      <x v="276"/>
      <x v="238"/>
      <x v="1"/>
      <x v="2"/>
    </i>
    <i>
      <x v="277"/>
      <x v="196"/>
      <x v="2"/>
      <x v="1"/>
    </i>
    <i>
      <x v="278"/>
      <x v="105"/>
      <x v="2"/>
      <x v="1"/>
    </i>
    <i>
      <x v="279"/>
      <x v="288"/>
      <x v="3"/>
      <x v="3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Unrestricted" fld="7" baseField="2" baseItem="2"/>
    <dataField name="Sum of In Quality Insp." fld="8" baseField="2" baseItem="2"/>
    <dataField name="Sum of Blocked" fld="9" baseField="2" baseItem="2"/>
    <dataField name="Sum of Total Stock" fld="10" baseField="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O2" totalsRowShown="0">
  <autoFilter ref="A1:O2" xr:uid="{00000000-0009-0000-0100-000002000000}"/>
  <tableColumns count="15">
    <tableColumn id="1" xr3:uid="{00000000-0010-0000-0000-000001000000}" name="Exception"/>
    <tableColumn id="2" xr3:uid="{00000000-0010-0000-0000-000002000000}" name="Material"/>
    <tableColumn id="3" xr3:uid="{00000000-0010-0000-0000-000003000000}" name="Plant"/>
    <tableColumn id="4" xr3:uid="{00000000-0010-0000-0000-000004000000}" name="Storage Location"/>
    <tableColumn id="5" xr3:uid="{00000000-0010-0000-0000-000005000000}" name="Material Description"/>
    <tableColumn id="6" xr3:uid="{00000000-0010-0000-0000-000006000000}" name="Base Unit of Measure"/>
    <tableColumn id="7" xr3:uid="{00000000-0010-0000-0000-000007000000}" name="Batch"/>
    <tableColumn id="8" xr3:uid="{00000000-0010-0000-0000-000008000000}" name="Unrestricted"/>
    <tableColumn id="9" xr3:uid="{00000000-0010-0000-0000-000009000000}" name="In Quality Insp."/>
    <tableColumn id="10" xr3:uid="{00000000-0010-0000-0000-00000A000000}" name="Blocked"/>
    <tableColumn id="11" xr3:uid="{00000000-0010-0000-0000-00000B000000}" name="Total Stock"/>
    <tableColumn id="12" xr3:uid="{00000000-0010-0000-0000-00000C000000}" name="Market"/>
    <tableColumn id="13" xr3:uid="{00000000-0010-0000-0000-00000D000000}" name="week"/>
    <tableColumn id="14" xr3:uid="{00000000-0010-0000-0000-00000E000000}" name="Year"/>
    <tableColumn id="15" xr3:uid="{00000000-0010-0000-0000-00000F000000}" name="Warehous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2:O47" totalsRowShown="0" headerRowDxfId="15" dataDxfId="14">
  <autoFilter ref="A2:O47" xr:uid="{00000000-0009-0000-0100-000001000000}"/>
  <tableColumns count="15">
    <tableColumn id="1" xr3:uid="{00000000-0010-0000-0100-000001000000}" name="Exception" dataDxfId="13"/>
    <tableColumn id="2" xr3:uid="{00000000-0010-0000-0100-000002000000}" name="Material" dataDxfId="12"/>
    <tableColumn id="3" xr3:uid="{00000000-0010-0000-0100-000003000000}" name="Plant" dataDxfId="11"/>
    <tableColumn id="4" xr3:uid="{00000000-0010-0000-0100-000004000000}" name="Storage Location" dataDxfId="10"/>
    <tableColumn id="5" xr3:uid="{00000000-0010-0000-0100-000005000000}" name="Material Description" dataDxfId="9"/>
    <tableColumn id="6" xr3:uid="{00000000-0010-0000-0100-000006000000}" name="Base Unit of Measure" dataDxfId="8"/>
    <tableColumn id="7" xr3:uid="{00000000-0010-0000-0100-000007000000}" name="Batch" dataDxfId="7"/>
    <tableColumn id="8" xr3:uid="{00000000-0010-0000-0100-000008000000}" name="Unrestricted" dataDxfId="6"/>
    <tableColumn id="9" xr3:uid="{00000000-0010-0000-0100-000009000000}" name="In Quality Insp." dataDxfId="5"/>
    <tableColumn id="10" xr3:uid="{00000000-0010-0000-0100-00000A000000}" name="Blocked" dataDxfId="4"/>
    <tableColumn id="11" xr3:uid="{00000000-0010-0000-0100-00000B000000}" name="Total Stock" dataDxfId="3"/>
    <tableColumn id="12" xr3:uid="{00000000-0010-0000-0100-00000C000000}" name="Market">
      <calculatedColumnFormula>VLOOKUP($B3,Data!$A$1:$C$10000,2,0)</calculatedColumnFormula>
    </tableColumn>
    <tableColumn id="13" xr3:uid="{00000000-0010-0000-0100-00000D000000}" name="week" dataDxfId="2">
      <calculatedColumnFormula>RIGHT(Table1[[#This Row],[Batch]],3)</calculatedColumnFormula>
    </tableColumn>
    <tableColumn id="14" xr3:uid="{00000000-0010-0000-0100-00000E000000}" name="Year" dataDxfId="1">
      <calculatedColumnFormula>LEFT(Table1[[#This Row],[Batch]],7)</calculatedColumnFormula>
    </tableColumn>
    <tableColumn id="15" xr3:uid="{00000000-0010-0000-0100-00000F000000}" name="Warehouse" dataDxfId="0">
      <calculatedColumnFormula>IF(Table1[[#This Row],[Storage Location]]="3040","Lot 41",IF(Table1[[#This Row],[Storage Location]]="3041","Lot 41",IF(Table1[[#This Row],[Storage Location]]="2080","Lot 41", IF(Table1[[#This Row],[Storage Location]]="2020","Lot 17",IF(Table1[[#This Row],[Storage Location]]="5020","Lot 17","")))))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70"/>
  <sheetViews>
    <sheetView showGridLines="0" workbookViewId="0">
      <selection activeCell="B11" sqref="B5:B16"/>
      <pivotSelection pane="bottomRight" showHeader="1" axis="axisRow" dimension="1" activeRow="10" activeCol="1" previousRow="10" previousCol="1" click="1" r:id="rId2">
        <pivotArea dataOnly="0" labelOnly="1" outline="0" fieldPosition="0">
          <references count="1">
            <reference field="4" count="0"/>
          </references>
        </pivotArea>
      </pivotSelection>
    </sheetView>
  </sheetViews>
  <sheetFormatPr defaultRowHeight="12.75" outlineLevelCol="1" x14ac:dyDescent="0.2"/>
  <cols>
    <col min="1" max="1" width="11.28515625" bestFit="1" customWidth="1"/>
    <col min="2" max="2" width="47.7109375" customWidth="1"/>
    <col min="3" max="3" width="10.28515625" hidden="1" customWidth="1" outlineLevel="1"/>
    <col min="4" max="4" width="9.28515625" bestFit="1" customWidth="1" collapsed="1"/>
    <col min="5" max="5" width="13.28515625" customWidth="1"/>
    <col min="6" max="6" width="18.7109375" customWidth="1"/>
    <col min="7" max="7" width="20.85546875" customWidth="1"/>
    <col min="8" max="8" width="14.7109375" bestFit="1" customWidth="1"/>
    <col min="9" max="9" width="19.7109375" customWidth="1"/>
    <col min="10" max="13" width="7.7109375" customWidth="1"/>
    <col min="14" max="35" width="9.140625" bestFit="1" customWidth="1"/>
    <col min="36" max="40" width="10.140625" bestFit="1" customWidth="1"/>
    <col min="41" max="41" width="14.7109375" bestFit="1" customWidth="1"/>
    <col min="42" max="42" width="5.7109375" customWidth="1"/>
    <col min="43" max="44" width="6.7109375" customWidth="1"/>
    <col min="45" max="52" width="7.7109375" customWidth="1"/>
    <col min="53" max="74" width="9.140625" bestFit="1" customWidth="1"/>
    <col min="75" max="79" width="10.140625" bestFit="1" customWidth="1"/>
    <col min="80" max="80" width="26" bestFit="1" customWidth="1"/>
    <col min="81" max="81" width="19.7109375" bestFit="1" customWidth="1"/>
  </cols>
  <sheetData>
    <row r="2" spans="1:8" x14ac:dyDescent="0.2">
      <c r="A2" s="30" t="s">
        <v>929</v>
      </c>
      <c r="B2" t="s">
        <v>947</v>
      </c>
    </row>
    <row r="4" spans="1:8" x14ac:dyDescent="0.2">
      <c r="A4" s="30" t="s">
        <v>1753</v>
      </c>
      <c r="B4" s="30" t="s">
        <v>924</v>
      </c>
      <c r="C4" s="30" t="s">
        <v>1739</v>
      </c>
      <c r="D4" s="30" t="s">
        <v>1769</v>
      </c>
      <c r="E4" s="30" t="s">
        <v>1772</v>
      </c>
      <c r="F4" t="s">
        <v>1750</v>
      </c>
      <c r="G4" t="s">
        <v>1751</v>
      </c>
      <c r="H4" t="s">
        <v>1752</v>
      </c>
    </row>
    <row r="5" spans="1:8" x14ac:dyDescent="0.2">
      <c r="A5" t="s">
        <v>1931</v>
      </c>
      <c r="B5" t="s">
        <v>801</v>
      </c>
      <c r="C5" s="32">
        <v>1</v>
      </c>
      <c r="D5" t="s">
        <v>1771</v>
      </c>
      <c r="E5" t="s">
        <v>1773</v>
      </c>
      <c r="F5" s="31">
        <v>1</v>
      </c>
      <c r="G5" s="31">
        <v>0</v>
      </c>
      <c r="H5" s="31">
        <v>0</v>
      </c>
    </row>
    <row r="6" spans="1:8" x14ac:dyDescent="0.2">
      <c r="A6" t="s">
        <v>1932</v>
      </c>
      <c r="B6" t="s">
        <v>283</v>
      </c>
      <c r="C6" s="32">
        <v>1</v>
      </c>
      <c r="D6" t="s">
        <v>1771</v>
      </c>
      <c r="E6" t="s">
        <v>1773</v>
      </c>
      <c r="F6" s="31">
        <v>1</v>
      </c>
      <c r="G6" s="31">
        <v>0</v>
      </c>
      <c r="H6" s="31">
        <v>0</v>
      </c>
    </row>
    <row r="7" spans="1:8" x14ac:dyDescent="0.2">
      <c r="A7" t="s">
        <v>1933</v>
      </c>
      <c r="B7" t="s">
        <v>420</v>
      </c>
      <c r="C7" s="32">
        <v>1</v>
      </c>
      <c r="D7" t="s">
        <v>1771</v>
      </c>
      <c r="E7" t="s">
        <v>1773</v>
      </c>
      <c r="F7" s="31">
        <v>1</v>
      </c>
      <c r="G7" s="31">
        <v>0</v>
      </c>
      <c r="H7" s="31">
        <v>0</v>
      </c>
    </row>
    <row r="8" spans="1:8" x14ac:dyDescent="0.2">
      <c r="C8" s="32">
        <v>300</v>
      </c>
      <c r="D8" t="s">
        <v>1771</v>
      </c>
      <c r="E8" t="s">
        <v>1773</v>
      </c>
      <c r="F8" s="31">
        <v>300</v>
      </c>
      <c r="G8" s="31">
        <v>0</v>
      </c>
      <c r="H8" s="31">
        <v>0</v>
      </c>
    </row>
    <row r="9" spans="1:8" x14ac:dyDescent="0.2">
      <c r="B9" t="s">
        <v>843</v>
      </c>
      <c r="C9" s="32">
        <v>30</v>
      </c>
      <c r="D9" t="s">
        <v>1771</v>
      </c>
      <c r="E9" t="s">
        <v>1773</v>
      </c>
      <c r="F9" s="31">
        <v>30</v>
      </c>
      <c r="G9" s="31">
        <v>0</v>
      </c>
      <c r="H9" s="31">
        <v>0</v>
      </c>
    </row>
    <row r="10" spans="1:8" x14ac:dyDescent="0.2">
      <c r="B10" t="s">
        <v>801</v>
      </c>
      <c r="C10" s="32">
        <v>1</v>
      </c>
      <c r="D10" t="s">
        <v>1771</v>
      </c>
      <c r="E10" t="s">
        <v>1773</v>
      </c>
      <c r="F10" s="31">
        <v>1</v>
      </c>
      <c r="G10" s="31">
        <v>0</v>
      </c>
      <c r="H10" s="31">
        <v>0</v>
      </c>
    </row>
    <row r="11" spans="1:8" x14ac:dyDescent="0.2">
      <c r="C11" s="32">
        <v>300</v>
      </c>
      <c r="D11" t="s">
        <v>1771</v>
      </c>
      <c r="E11" t="s">
        <v>1773</v>
      </c>
      <c r="F11" s="31">
        <v>300</v>
      </c>
      <c r="G11" s="31">
        <v>0</v>
      </c>
      <c r="H11" s="31">
        <v>0</v>
      </c>
    </row>
    <row r="12" spans="1:8" x14ac:dyDescent="0.2">
      <c r="B12" t="s">
        <v>283</v>
      </c>
      <c r="C12" s="32">
        <v>80</v>
      </c>
      <c r="D12" t="s">
        <v>1771</v>
      </c>
      <c r="E12" t="s">
        <v>1773</v>
      </c>
      <c r="F12" s="31">
        <v>80</v>
      </c>
      <c r="G12" s="31">
        <v>0</v>
      </c>
      <c r="H12" s="31">
        <v>0</v>
      </c>
    </row>
    <row r="13" spans="1:8" x14ac:dyDescent="0.2">
      <c r="B13" t="s">
        <v>1901</v>
      </c>
      <c r="C13" s="32">
        <v>120</v>
      </c>
      <c r="D13" t="s">
        <v>1771</v>
      </c>
      <c r="E13" t="s">
        <v>1773</v>
      </c>
      <c r="F13" s="31">
        <v>120</v>
      </c>
      <c r="G13" s="31">
        <v>0</v>
      </c>
      <c r="H13" s="31">
        <v>0</v>
      </c>
    </row>
    <row r="14" spans="1:8" x14ac:dyDescent="0.2">
      <c r="A14" t="s">
        <v>1930</v>
      </c>
      <c r="B14" t="s">
        <v>1910</v>
      </c>
      <c r="C14" s="32">
        <v>1</v>
      </c>
      <c r="D14" t="s">
        <v>1771</v>
      </c>
      <c r="E14" t="s">
        <v>1773</v>
      </c>
      <c r="F14" s="31">
        <v>1</v>
      </c>
      <c r="G14" s="31">
        <v>0</v>
      </c>
      <c r="H14" s="31">
        <v>0</v>
      </c>
    </row>
    <row r="15" spans="1:8" x14ac:dyDescent="0.2">
      <c r="C15" s="32">
        <v>300</v>
      </c>
      <c r="D15" t="s">
        <v>1771</v>
      </c>
      <c r="E15" t="s">
        <v>1773</v>
      </c>
      <c r="F15" s="31">
        <v>300</v>
      </c>
      <c r="G15" s="31">
        <v>0</v>
      </c>
      <c r="H15" s="31">
        <v>0</v>
      </c>
    </row>
    <row r="16" spans="1:8" x14ac:dyDescent="0.2">
      <c r="B16" t="s">
        <v>801</v>
      </c>
      <c r="C16" s="32">
        <v>150</v>
      </c>
      <c r="D16" t="s">
        <v>1771</v>
      </c>
      <c r="E16" t="s">
        <v>1773</v>
      </c>
      <c r="F16" s="31">
        <v>150</v>
      </c>
      <c r="G16" s="31">
        <v>0</v>
      </c>
      <c r="H16" s="31">
        <v>0</v>
      </c>
    </row>
    <row r="17" spans="1:8" x14ac:dyDescent="0.2">
      <c r="A17" t="s">
        <v>1749</v>
      </c>
      <c r="F17" s="31">
        <v>1285</v>
      </c>
      <c r="G17" s="31">
        <v>0</v>
      </c>
      <c r="H17" s="31">
        <v>0</v>
      </c>
    </row>
    <row r="60" spans="1:8" x14ac:dyDescent="0.2">
      <c r="A60" s="30" t="s">
        <v>929</v>
      </c>
      <c r="B60" t="s">
        <v>947</v>
      </c>
    </row>
    <row r="62" spans="1:8" x14ac:dyDescent="0.2">
      <c r="A62" s="30" t="s">
        <v>1753</v>
      </c>
      <c r="B62" s="30" t="s">
        <v>924</v>
      </c>
      <c r="C62" s="30" t="s">
        <v>1739</v>
      </c>
      <c r="D62" s="30" t="s">
        <v>1769</v>
      </c>
      <c r="E62" s="30" t="s">
        <v>1772</v>
      </c>
      <c r="F62" t="s">
        <v>1750</v>
      </c>
      <c r="G62" t="s">
        <v>1751</v>
      </c>
      <c r="H62" t="s">
        <v>1752</v>
      </c>
    </row>
    <row r="63" spans="1:8" x14ac:dyDescent="0.2">
      <c r="A63" t="s">
        <v>1770</v>
      </c>
      <c r="B63" t="s">
        <v>425</v>
      </c>
      <c r="C63" s="32">
        <v>1</v>
      </c>
      <c r="D63" t="s">
        <v>1771</v>
      </c>
      <c r="E63" t="s">
        <v>1774</v>
      </c>
      <c r="F63" s="31">
        <v>0</v>
      </c>
      <c r="G63" s="31">
        <v>0</v>
      </c>
      <c r="H63" s="31">
        <v>1</v>
      </c>
    </row>
    <row r="64" spans="1:8" x14ac:dyDescent="0.2">
      <c r="A64" t="s">
        <v>1927</v>
      </c>
      <c r="B64" t="s">
        <v>870</v>
      </c>
      <c r="C64" s="32">
        <v>1</v>
      </c>
      <c r="D64" t="s">
        <v>1771</v>
      </c>
      <c r="E64" t="s">
        <v>1774</v>
      </c>
      <c r="F64" s="31">
        <v>0</v>
      </c>
      <c r="G64" s="31">
        <v>0</v>
      </c>
      <c r="H64" s="31">
        <v>1</v>
      </c>
    </row>
    <row r="65" spans="1:8" x14ac:dyDescent="0.2">
      <c r="A65" t="s">
        <v>1928</v>
      </c>
      <c r="B65" t="s">
        <v>254</v>
      </c>
      <c r="C65" s="32">
        <v>1</v>
      </c>
      <c r="D65" t="s">
        <v>1771</v>
      </c>
      <c r="E65" t="s">
        <v>1774</v>
      </c>
      <c r="F65" s="31">
        <v>1</v>
      </c>
      <c r="G65" s="31">
        <v>0</v>
      </c>
      <c r="H65" s="31">
        <v>0</v>
      </c>
    </row>
    <row r="66" spans="1:8" x14ac:dyDescent="0.2">
      <c r="B66" t="s">
        <v>356</v>
      </c>
      <c r="C66" s="32">
        <v>1</v>
      </c>
      <c r="D66" t="s">
        <v>1771</v>
      </c>
      <c r="E66" t="s">
        <v>1774</v>
      </c>
      <c r="F66" s="31">
        <v>0</v>
      </c>
      <c r="G66" s="31">
        <v>0</v>
      </c>
      <c r="H66" s="31">
        <v>1</v>
      </c>
    </row>
    <row r="67" spans="1:8" x14ac:dyDescent="0.2">
      <c r="A67" t="s">
        <v>1929</v>
      </c>
      <c r="B67" t="s">
        <v>801</v>
      </c>
      <c r="C67" s="32">
        <v>1</v>
      </c>
      <c r="D67" t="s">
        <v>1771</v>
      </c>
      <c r="E67" t="s">
        <v>1774</v>
      </c>
      <c r="F67" s="31">
        <v>0</v>
      </c>
      <c r="G67" s="31">
        <v>0</v>
      </c>
      <c r="H67" s="31">
        <v>1</v>
      </c>
    </row>
    <row r="68" spans="1:8" x14ac:dyDescent="0.2">
      <c r="B68" t="s">
        <v>823</v>
      </c>
      <c r="C68" s="32">
        <v>1</v>
      </c>
      <c r="D68" t="s">
        <v>1771</v>
      </c>
      <c r="E68" t="s">
        <v>1774</v>
      </c>
      <c r="F68" s="31">
        <v>1</v>
      </c>
      <c r="G68" s="31">
        <v>0</v>
      </c>
      <c r="H68" s="31">
        <v>0</v>
      </c>
    </row>
    <row r="69" spans="1:8" x14ac:dyDescent="0.2">
      <c r="A69" t="s">
        <v>1930</v>
      </c>
      <c r="B69" t="s">
        <v>1915</v>
      </c>
      <c r="C69" s="32">
        <v>20</v>
      </c>
      <c r="D69" t="s">
        <v>1771</v>
      </c>
      <c r="E69" t="s">
        <v>1774</v>
      </c>
      <c r="F69" s="31">
        <v>20</v>
      </c>
      <c r="G69" s="31">
        <v>0</v>
      </c>
      <c r="H69" s="31">
        <v>0</v>
      </c>
    </row>
    <row r="70" spans="1:8" x14ac:dyDescent="0.2">
      <c r="A70" t="s">
        <v>1749</v>
      </c>
      <c r="F70" s="31">
        <v>22</v>
      </c>
      <c r="G70" s="31">
        <v>0</v>
      </c>
      <c r="H70" s="3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1647"/>
  <sheetViews>
    <sheetView workbookViewId="0">
      <selection activeCell="A2" sqref="A2"/>
    </sheetView>
  </sheetViews>
  <sheetFormatPr defaultRowHeight="12.75" x14ac:dyDescent="0.2"/>
  <cols>
    <col min="1" max="1" width="24.28515625" bestFit="1" customWidth="1"/>
    <col min="2" max="2" width="23.7109375" bestFit="1" customWidth="1"/>
    <col min="3" max="3" width="72.28515625" bestFit="1" customWidth="1"/>
  </cols>
  <sheetData>
    <row r="1" spans="1:3" x14ac:dyDescent="0.2">
      <c r="A1" s="10" t="s">
        <v>930</v>
      </c>
      <c r="B1" s="11" t="s">
        <v>929</v>
      </c>
      <c r="C1" s="10" t="s">
        <v>931</v>
      </c>
    </row>
    <row r="2" spans="1:3" x14ac:dyDescent="0.2">
      <c r="A2" s="13" t="s">
        <v>473</v>
      </c>
      <c r="B2" s="21" t="s">
        <v>932</v>
      </c>
      <c r="C2" s="24" t="s">
        <v>444</v>
      </c>
    </row>
    <row r="3" spans="1:3" x14ac:dyDescent="0.2">
      <c r="A3" s="13" t="s">
        <v>474</v>
      </c>
      <c r="B3" s="21" t="s">
        <v>932</v>
      </c>
      <c r="C3" s="24" t="s">
        <v>411</v>
      </c>
    </row>
    <row r="4" spans="1:3" x14ac:dyDescent="0.2">
      <c r="A4" s="13" t="s">
        <v>476</v>
      </c>
      <c r="B4" s="21" t="s">
        <v>932</v>
      </c>
      <c r="C4" s="24" t="s">
        <v>477</v>
      </c>
    </row>
    <row r="5" spans="1:3" x14ac:dyDescent="0.2">
      <c r="A5" s="13" t="s">
        <v>654</v>
      </c>
      <c r="B5" s="21" t="s">
        <v>932</v>
      </c>
      <c r="C5" s="24" t="s">
        <v>933</v>
      </c>
    </row>
    <row r="6" spans="1:3" x14ac:dyDescent="0.2">
      <c r="A6" s="13" t="s">
        <v>484</v>
      </c>
      <c r="B6" s="21" t="s">
        <v>932</v>
      </c>
      <c r="C6" s="24" t="s">
        <v>287</v>
      </c>
    </row>
    <row r="7" spans="1:3" x14ac:dyDescent="0.2">
      <c r="A7" s="13" t="s">
        <v>487</v>
      </c>
      <c r="B7" s="21" t="s">
        <v>932</v>
      </c>
      <c r="C7" s="24" t="s">
        <v>488</v>
      </c>
    </row>
    <row r="8" spans="1:3" x14ac:dyDescent="0.2">
      <c r="A8" s="13" t="s">
        <v>491</v>
      </c>
      <c r="B8" s="21" t="s">
        <v>932</v>
      </c>
      <c r="C8" s="24" t="s">
        <v>356</v>
      </c>
    </row>
    <row r="9" spans="1:3" x14ac:dyDescent="0.2">
      <c r="A9" s="13" t="s">
        <v>558</v>
      </c>
      <c r="B9" s="21" t="s">
        <v>932</v>
      </c>
      <c r="C9" s="24" t="s">
        <v>535</v>
      </c>
    </row>
    <row r="10" spans="1:3" x14ac:dyDescent="0.2">
      <c r="A10" s="13" t="s">
        <v>587</v>
      </c>
      <c r="B10" s="21" t="s">
        <v>932</v>
      </c>
      <c r="C10" s="24" t="s">
        <v>934</v>
      </c>
    </row>
    <row r="11" spans="1:3" x14ac:dyDescent="0.2">
      <c r="A11" s="13" t="s">
        <v>589</v>
      </c>
      <c r="B11" s="21" t="s">
        <v>932</v>
      </c>
      <c r="C11" s="24" t="s">
        <v>935</v>
      </c>
    </row>
    <row r="12" spans="1:3" x14ac:dyDescent="0.2">
      <c r="A12" s="13" t="s">
        <v>590</v>
      </c>
      <c r="B12" s="21" t="s">
        <v>932</v>
      </c>
      <c r="C12" s="24" t="s">
        <v>936</v>
      </c>
    </row>
    <row r="13" spans="1:3" x14ac:dyDescent="0.2">
      <c r="A13" s="13" t="s">
        <v>653</v>
      </c>
      <c r="B13" s="21" t="s">
        <v>932</v>
      </c>
      <c r="C13" s="24" t="s">
        <v>270</v>
      </c>
    </row>
    <row r="14" spans="1:3" x14ac:dyDescent="0.2">
      <c r="A14" s="13" t="s">
        <v>601</v>
      </c>
      <c r="B14" s="21" t="s">
        <v>932</v>
      </c>
      <c r="C14" s="24" t="s">
        <v>937</v>
      </c>
    </row>
    <row r="15" spans="1:3" x14ac:dyDescent="0.2">
      <c r="A15" s="13" t="s">
        <v>604</v>
      </c>
      <c r="B15" s="21" t="s">
        <v>932</v>
      </c>
      <c r="C15" s="24" t="s">
        <v>938</v>
      </c>
    </row>
    <row r="16" spans="1:3" x14ac:dyDescent="0.2">
      <c r="A16" s="13" t="s">
        <v>606</v>
      </c>
      <c r="B16" s="21" t="s">
        <v>932</v>
      </c>
      <c r="C16" s="24" t="s">
        <v>939</v>
      </c>
    </row>
    <row r="17" spans="1:3" x14ac:dyDescent="0.2">
      <c r="A17" s="13" t="s">
        <v>607</v>
      </c>
      <c r="B17" s="21" t="s">
        <v>932</v>
      </c>
      <c r="C17" s="24" t="s">
        <v>940</v>
      </c>
    </row>
    <row r="18" spans="1:3" x14ac:dyDescent="0.2">
      <c r="A18" s="13" t="s">
        <v>608</v>
      </c>
      <c r="B18" s="21" t="s">
        <v>932</v>
      </c>
      <c r="C18" s="24" t="s">
        <v>565</v>
      </c>
    </row>
    <row r="19" spans="1:3" x14ac:dyDescent="0.2">
      <c r="A19" s="13" t="s">
        <v>609</v>
      </c>
      <c r="B19" s="21" t="s">
        <v>932</v>
      </c>
      <c r="C19" s="24" t="s">
        <v>568</v>
      </c>
    </row>
    <row r="20" spans="1:3" x14ac:dyDescent="0.2">
      <c r="A20" s="13" t="s">
        <v>610</v>
      </c>
      <c r="B20" s="21" t="s">
        <v>932</v>
      </c>
      <c r="C20" s="24" t="s">
        <v>941</v>
      </c>
    </row>
    <row r="21" spans="1:3" x14ac:dyDescent="0.2">
      <c r="A21" s="13" t="s">
        <v>611</v>
      </c>
      <c r="B21" s="21" t="s">
        <v>932</v>
      </c>
      <c r="C21" s="24" t="s">
        <v>941</v>
      </c>
    </row>
    <row r="22" spans="1:3" x14ac:dyDescent="0.2">
      <c r="A22" s="13" t="s">
        <v>942</v>
      </c>
      <c r="B22" s="21" t="s">
        <v>932</v>
      </c>
      <c r="C22" s="24" t="s">
        <v>943</v>
      </c>
    </row>
    <row r="23" spans="1:3" x14ac:dyDescent="0.2">
      <c r="A23" s="13" t="s">
        <v>678</v>
      </c>
      <c r="B23" s="21" t="s">
        <v>932</v>
      </c>
      <c r="C23" s="24" t="s">
        <v>944</v>
      </c>
    </row>
    <row r="24" spans="1:3" x14ac:dyDescent="0.2">
      <c r="A24" s="13" t="s">
        <v>945</v>
      </c>
      <c r="B24" s="21" t="s">
        <v>932</v>
      </c>
      <c r="C24" s="24" t="s">
        <v>946</v>
      </c>
    </row>
    <row r="25" spans="1:3" x14ac:dyDescent="0.2">
      <c r="A25" s="13" t="s">
        <v>616</v>
      </c>
      <c r="B25" s="21" t="s">
        <v>947</v>
      </c>
      <c r="C25" s="24" t="s">
        <v>948</v>
      </c>
    </row>
    <row r="26" spans="1:3" x14ac:dyDescent="0.2">
      <c r="A26" s="13" t="s">
        <v>269</v>
      </c>
      <c r="B26" s="21" t="s">
        <v>947</v>
      </c>
      <c r="C26" s="24" t="s">
        <v>949</v>
      </c>
    </row>
    <row r="27" spans="1:3" x14ac:dyDescent="0.2">
      <c r="A27" s="13" t="s">
        <v>355</v>
      </c>
      <c r="B27" s="21" t="s">
        <v>947</v>
      </c>
      <c r="C27" s="24" t="s">
        <v>356</v>
      </c>
    </row>
    <row r="28" spans="1:3" x14ac:dyDescent="0.2">
      <c r="A28" s="13" t="s">
        <v>358</v>
      </c>
      <c r="B28" s="21" t="s">
        <v>947</v>
      </c>
      <c r="C28" s="24" t="s">
        <v>359</v>
      </c>
    </row>
    <row r="29" spans="1:3" x14ac:dyDescent="0.2">
      <c r="A29" s="13" t="s">
        <v>433</v>
      </c>
      <c r="B29" s="21" t="s">
        <v>947</v>
      </c>
      <c r="C29" s="24" t="s">
        <v>411</v>
      </c>
    </row>
    <row r="30" spans="1:3" x14ac:dyDescent="0.2">
      <c r="A30" s="13" t="s">
        <v>950</v>
      </c>
      <c r="B30" s="21" t="s">
        <v>947</v>
      </c>
      <c r="C30" s="24" t="s">
        <v>951</v>
      </c>
    </row>
    <row r="31" spans="1:3" x14ac:dyDescent="0.2">
      <c r="A31" s="13" t="s">
        <v>547</v>
      </c>
      <c r="B31" s="21" t="s">
        <v>947</v>
      </c>
      <c r="C31" s="24" t="s">
        <v>952</v>
      </c>
    </row>
    <row r="32" spans="1:3" x14ac:dyDescent="0.2">
      <c r="A32" s="13" t="s">
        <v>549</v>
      </c>
      <c r="B32" s="21" t="s">
        <v>947</v>
      </c>
      <c r="C32" s="24" t="s">
        <v>953</v>
      </c>
    </row>
    <row r="33" spans="1:3" x14ac:dyDescent="0.2">
      <c r="A33" s="13" t="s">
        <v>954</v>
      </c>
      <c r="B33" s="21" t="s">
        <v>947</v>
      </c>
      <c r="C33" s="24" t="s">
        <v>955</v>
      </c>
    </row>
    <row r="34" spans="1:3" x14ac:dyDescent="0.2">
      <c r="A34" s="13" t="s">
        <v>576</v>
      </c>
      <c r="B34" s="21" t="s">
        <v>947</v>
      </c>
      <c r="C34" s="24" t="s">
        <v>956</v>
      </c>
    </row>
    <row r="35" spans="1:3" x14ac:dyDescent="0.2">
      <c r="A35" s="13" t="s">
        <v>957</v>
      </c>
      <c r="B35" s="21" t="s">
        <v>947</v>
      </c>
      <c r="C35" s="24" t="s">
        <v>958</v>
      </c>
    </row>
    <row r="36" spans="1:3" x14ac:dyDescent="0.2">
      <c r="A36" s="13" t="s">
        <v>959</v>
      </c>
      <c r="B36" s="21" t="s">
        <v>947</v>
      </c>
      <c r="C36" s="24" t="s">
        <v>960</v>
      </c>
    </row>
    <row r="37" spans="1:3" x14ac:dyDescent="0.2">
      <c r="A37" s="13" t="s">
        <v>961</v>
      </c>
      <c r="B37" s="21" t="s">
        <v>947</v>
      </c>
      <c r="C37" s="24" t="s">
        <v>962</v>
      </c>
    </row>
    <row r="38" spans="1:3" x14ac:dyDescent="0.2">
      <c r="A38" s="13" t="s">
        <v>585</v>
      </c>
      <c r="B38" s="21" t="s">
        <v>947</v>
      </c>
      <c r="C38" s="24" t="s">
        <v>963</v>
      </c>
    </row>
    <row r="39" spans="1:3" x14ac:dyDescent="0.2">
      <c r="A39" s="13" t="s">
        <v>586</v>
      </c>
      <c r="B39" s="21" t="s">
        <v>947</v>
      </c>
      <c r="C39" s="24" t="s">
        <v>964</v>
      </c>
    </row>
    <row r="40" spans="1:3" x14ac:dyDescent="0.2">
      <c r="A40" s="13" t="s">
        <v>550</v>
      </c>
      <c r="B40" s="21" t="s">
        <v>947</v>
      </c>
      <c r="C40" s="24" t="s">
        <v>965</v>
      </c>
    </row>
    <row r="41" spans="1:3" x14ac:dyDescent="0.2">
      <c r="A41" s="13" t="s">
        <v>966</v>
      </c>
      <c r="B41" s="21" t="s">
        <v>947</v>
      </c>
      <c r="C41" s="24" t="s">
        <v>967</v>
      </c>
    </row>
    <row r="42" spans="1:3" x14ac:dyDescent="0.2">
      <c r="A42" s="13" t="s">
        <v>968</v>
      </c>
      <c r="B42" s="21" t="s">
        <v>947</v>
      </c>
      <c r="C42" s="24" t="s">
        <v>969</v>
      </c>
    </row>
    <row r="43" spans="1:3" x14ac:dyDescent="0.2">
      <c r="A43" s="13" t="s">
        <v>282</v>
      </c>
      <c r="B43" s="21" t="s">
        <v>970</v>
      </c>
      <c r="C43" s="24" t="s">
        <v>971</v>
      </c>
    </row>
    <row r="44" spans="1:3" x14ac:dyDescent="0.2">
      <c r="A44" s="13" t="s">
        <v>284</v>
      </c>
      <c r="B44" s="21" t="s">
        <v>970</v>
      </c>
      <c r="C44" s="24" t="s">
        <v>972</v>
      </c>
    </row>
    <row r="45" spans="1:3" x14ac:dyDescent="0.2">
      <c r="A45" s="13" t="s">
        <v>286</v>
      </c>
      <c r="B45" s="21" t="s">
        <v>970</v>
      </c>
      <c r="C45" s="24" t="s">
        <v>973</v>
      </c>
    </row>
    <row r="46" spans="1:3" x14ac:dyDescent="0.2">
      <c r="A46" s="13" t="s">
        <v>288</v>
      </c>
      <c r="B46" s="21" t="s">
        <v>970</v>
      </c>
      <c r="C46" s="24" t="s">
        <v>974</v>
      </c>
    </row>
    <row r="47" spans="1:3" x14ac:dyDescent="0.2">
      <c r="A47" s="13" t="s">
        <v>291</v>
      </c>
      <c r="B47" s="21" t="s">
        <v>970</v>
      </c>
      <c r="C47" s="24" t="s">
        <v>975</v>
      </c>
    </row>
    <row r="48" spans="1:3" x14ac:dyDescent="0.2">
      <c r="A48" s="13" t="s">
        <v>292</v>
      </c>
      <c r="B48" s="21" t="s">
        <v>970</v>
      </c>
      <c r="C48" s="24" t="s">
        <v>976</v>
      </c>
    </row>
    <row r="49" spans="1:3" x14ac:dyDescent="0.2">
      <c r="A49" s="13" t="s">
        <v>401</v>
      </c>
      <c r="B49" s="21" t="s">
        <v>970</v>
      </c>
      <c r="C49" s="24" t="s">
        <v>977</v>
      </c>
    </row>
    <row r="50" spans="1:3" x14ac:dyDescent="0.2">
      <c r="A50" s="13" t="s">
        <v>403</v>
      </c>
      <c r="B50" s="21" t="s">
        <v>970</v>
      </c>
      <c r="C50" s="24" t="s">
        <v>978</v>
      </c>
    </row>
    <row r="51" spans="1:3" x14ac:dyDescent="0.2">
      <c r="A51" s="13" t="s">
        <v>405</v>
      </c>
      <c r="B51" s="21" t="s">
        <v>970</v>
      </c>
      <c r="C51" s="24" t="s">
        <v>979</v>
      </c>
    </row>
    <row r="52" spans="1:3" x14ac:dyDescent="0.2">
      <c r="A52" s="13" t="s">
        <v>406</v>
      </c>
      <c r="B52" s="21" t="s">
        <v>970</v>
      </c>
      <c r="C52" s="24" t="s">
        <v>359</v>
      </c>
    </row>
    <row r="53" spans="1:3" x14ac:dyDescent="0.2">
      <c r="A53" s="13" t="s">
        <v>408</v>
      </c>
      <c r="B53" s="21" t="s">
        <v>970</v>
      </c>
      <c r="C53" s="24" t="s">
        <v>980</v>
      </c>
    </row>
    <row r="54" spans="1:3" x14ac:dyDescent="0.2">
      <c r="A54" s="13" t="s">
        <v>409</v>
      </c>
      <c r="B54" s="21" t="s">
        <v>970</v>
      </c>
      <c r="C54" s="24" t="s">
        <v>981</v>
      </c>
    </row>
    <row r="55" spans="1:3" x14ac:dyDescent="0.2">
      <c r="A55" s="13" t="s">
        <v>410</v>
      </c>
      <c r="B55" s="21" t="s">
        <v>970</v>
      </c>
      <c r="C55" s="24" t="s">
        <v>982</v>
      </c>
    </row>
    <row r="56" spans="1:3" x14ac:dyDescent="0.2">
      <c r="A56" s="13" t="s">
        <v>412</v>
      </c>
      <c r="B56" s="21" t="s">
        <v>970</v>
      </c>
      <c r="C56" s="24" t="s">
        <v>983</v>
      </c>
    </row>
    <row r="57" spans="1:3" x14ac:dyDescent="0.2">
      <c r="A57" s="13" t="s">
        <v>443</v>
      </c>
      <c r="B57" s="21" t="s">
        <v>970</v>
      </c>
      <c r="C57" s="24" t="s">
        <v>984</v>
      </c>
    </row>
    <row r="58" spans="1:3" x14ac:dyDescent="0.2">
      <c r="A58" s="13" t="s">
        <v>445</v>
      </c>
      <c r="B58" s="21" t="s">
        <v>970</v>
      </c>
      <c r="C58" s="24" t="s">
        <v>985</v>
      </c>
    </row>
    <row r="59" spans="1:3" x14ac:dyDescent="0.2">
      <c r="A59" s="13" t="s">
        <v>447</v>
      </c>
      <c r="B59" s="21" t="s">
        <v>970</v>
      </c>
      <c r="C59" s="24" t="s">
        <v>986</v>
      </c>
    </row>
    <row r="60" spans="1:3" x14ac:dyDescent="0.2">
      <c r="A60" s="13" t="s">
        <v>449</v>
      </c>
      <c r="B60" s="21" t="s">
        <v>970</v>
      </c>
      <c r="C60" s="24" t="s">
        <v>987</v>
      </c>
    </row>
    <row r="61" spans="1:3" x14ac:dyDescent="0.2">
      <c r="A61" s="13" t="s">
        <v>564</v>
      </c>
      <c r="B61" s="21" t="s">
        <v>970</v>
      </c>
      <c r="C61" s="24" t="s">
        <v>988</v>
      </c>
    </row>
    <row r="62" spans="1:3" x14ac:dyDescent="0.2">
      <c r="A62" s="13" t="s">
        <v>566</v>
      </c>
      <c r="B62" s="21" t="s">
        <v>970</v>
      </c>
      <c r="C62" s="24" t="s">
        <v>989</v>
      </c>
    </row>
    <row r="63" spans="1:3" x14ac:dyDescent="0.2">
      <c r="A63" s="13" t="s">
        <v>612</v>
      </c>
      <c r="B63" s="21" t="s">
        <v>970</v>
      </c>
      <c r="C63" s="24" t="s">
        <v>990</v>
      </c>
    </row>
    <row r="64" spans="1:3" x14ac:dyDescent="0.2">
      <c r="A64" s="13" t="s">
        <v>567</v>
      </c>
      <c r="B64" s="21" t="s">
        <v>970</v>
      </c>
      <c r="C64" s="24" t="s">
        <v>991</v>
      </c>
    </row>
    <row r="65" spans="1:3" x14ac:dyDescent="0.2">
      <c r="A65" s="13" t="s">
        <v>404</v>
      </c>
      <c r="B65" s="21" t="s">
        <v>970</v>
      </c>
      <c r="C65" s="24" t="s">
        <v>992</v>
      </c>
    </row>
    <row r="66" spans="1:3" x14ac:dyDescent="0.2">
      <c r="A66" s="13" t="s">
        <v>413</v>
      </c>
      <c r="B66" s="21" t="s">
        <v>970</v>
      </c>
      <c r="C66" s="24" t="s">
        <v>993</v>
      </c>
    </row>
    <row r="67" spans="1:3" x14ac:dyDescent="0.2">
      <c r="A67" s="13" t="s">
        <v>479</v>
      </c>
      <c r="B67" s="21" t="s">
        <v>932</v>
      </c>
      <c r="C67" s="24" t="s">
        <v>254</v>
      </c>
    </row>
    <row r="68" spans="1:3" x14ac:dyDescent="0.2">
      <c r="A68" s="13" t="s">
        <v>481</v>
      </c>
      <c r="B68" s="21" t="s">
        <v>932</v>
      </c>
      <c r="C68" s="24" t="s">
        <v>283</v>
      </c>
    </row>
    <row r="69" spans="1:3" x14ac:dyDescent="0.2">
      <c r="A69" s="13" t="s">
        <v>593</v>
      </c>
      <c r="B69" s="21" t="s">
        <v>932</v>
      </c>
      <c r="C69" s="24" t="s">
        <v>994</v>
      </c>
    </row>
    <row r="70" spans="1:3" x14ac:dyDescent="0.2">
      <c r="A70" s="13" t="s">
        <v>599</v>
      </c>
      <c r="B70" s="21" t="s">
        <v>932</v>
      </c>
      <c r="C70" s="24" t="s">
        <v>995</v>
      </c>
    </row>
    <row r="71" spans="1:3" x14ac:dyDescent="0.2">
      <c r="A71" s="13" t="s">
        <v>253</v>
      </c>
      <c r="B71" s="21" t="s">
        <v>947</v>
      </c>
      <c r="C71" s="24" t="s">
        <v>254</v>
      </c>
    </row>
    <row r="72" spans="1:3" x14ac:dyDescent="0.2">
      <c r="A72" s="13" t="s">
        <v>264</v>
      </c>
      <c r="B72" s="21" t="s">
        <v>947</v>
      </c>
      <c r="C72" s="24" t="s">
        <v>994</v>
      </c>
    </row>
    <row r="73" spans="1:3" x14ac:dyDescent="0.2">
      <c r="A73" s="13" t="s">
        <v>351</v>
      </c>
      <c r="B73" s="21" t="s">
        <v>947</v>
      </c>
      <c r="C73" s="24" t="s">
        <v>283</v>
      </c>
    </row>
    <row r="74" spans="1:3" x14ac:dyDescent="0.2">
      <c r="A74" s="13" t="s">
        <v>996</v>
      </c>
      <c r="B74" s="21" t="s">
        <v>947</v>
      </c>
      <c r="C74" s="24" t="s">
        <v>997</v>
      </c>
    </row>
    <row r="75" spans="1:3" x14ac:dyDescent="0.2">
      <c r="A75" s="13" t="s">
        <v>545</v>
      </c>
      <c r="B75" s="21" t="s">
        <v>947</v>
      </c>
      <c r="C75" s="24" t="s">
        <v>998</v>
      </c>
    </row>
    <row r="76" spans="1:3" x14ac:dyDescent="0.2">
      <c r="A76" s="13" t="s">
        <v>34</v>
      </c>
      <c r="B76" s="21" t="s">
        <v>932</v>
      </c>
      <c r="C76" s="24" t="s">
        <v>33</v>
      </c>
    </row>
    <row r="77" spans="1:3" x14ac:dyDescent="0.2">
      <c r="A77" s="13" t="s">
        <v>39</v>
      </c>
      <c r="B77" s="21" t="s">
        <v>932</v>
      </c>
      <c r="C77" s="24" t="s">
        <v>38</v>
      </c>
    </row>
    <row r="78" spans="1:3" x14ac:dyDescent="0.2">
      <c r="A78" s="13" t="s">
        <v>41</v>
      </c>
      <c r="B78" s="21" t="s">
        <v>999</v>
      </c>
      <c r="C78" s="24" t="s">
        <v>1000</v>
      </c>
    </row>
    <row r="79" spans="1:3" x14ac:dyDescent="0.2">
      <c r="A79" s="13" t="s">
        <v>1001</v>
      </c>
      <c r="B79" s="21" t="s">
        <v>947</v>
      </c>
      <c r="C79" s="24" t="s">
        <v>1002</v>
      </c>
    </row>
    <row r="80" spans="1:3" x14ac:dyDescent="0.2">
      <c r="A80" s="13" t="s">
        <v>1003</v>
      </c>
      <c r="B80" s="21" t="s">
        <v>947</v>
      </c>
      <c r="C80" s="24" t="s">
        <v>1004</v>
      </c>
    </row>
    <row r="81" spans="1:3" x14ac:dyDescent="0.2">
      <c r="A81" s="13" t="s">
        <v>83</v>
      </c>
      <c r="B81" s="21" t="s">
        <v>1005</v>
      </c>
      <c r="C81" s="24" t="s">
        <v>42</v>
      </c>
    </row>
    <row r="82" spans="1:3" x14ac:dyDescent="0.2">
      <c r="A82" s="13" t="s">
        <v>84</v>
      </c>
      <c r="B82" s="21" t="s">
        <v>1006</v>
      </c>
      <c r="C82" s="24" t="s">
        <v>42</v>
      </c>
    </row>
    <row r="83" spans="1:3" x14ac:dyDescent="0.2">
      <c r="A83" s="13" t="s">
        <v>86</v>
      </c>
      <c r="B83" s="21" t="s">
        <v>1007</v>
      </c>
      <c r="C83" s="24" t="s">
        <v>42</v>
      </c>
    </row>
    <row r="84" spans="1:3" x14ac:dyDescent="0.2">
      <c r="A84" s="13" t="s">
        <v>91</v>
      </c>
      <c r="B84" s="21" t="s">
        <v>947</v>
      </c>
      <c r="C84" s="24" t="s">
        <v>1008</v>
      </c>
    </row>
    <row r="85" spans="1:3" x14ac:dyDescent="0.2">
      <c r="A85" s="13" t="s">
        <v>91</v>
      </c>
      <c r="B85" s="21" t="s">
        <v>947</v>
      </c>
      <c r="C85" s="24" t="s">
        <v>1008</v>
      </c>
    </row>
    <row r="86" spans="1:3" x14ac:dyDescent="0.2">
      <c r="A86" s="13" t="s">
        <v>97</v>
      </c>
      <c r="B86" s="21" t="s">
        <v>1009</v>
      </c>
      <c r="C86" s="24" t="s">
        <v>1010</v>
      </c>
    </row>
    <row r="87" spans="1:3" x14ac:dyDescent="0.2">
      <c r="A87" s="13" t="s">
        <v>103</v>
      </c>
      <c r="B87" s="21" t="s">
        <v>1011</v>
      </c>
      <c r="C87" s="24" t="s">
        <v>1012</v>
      </c>
    </row>
    <row r="88" spans="1:3" x14ac:dyDescent="0.2">
      <c r="A88" s="13" t="s">
        <v>132</v>
      </c>
      <c r="B88" s="21" t="s">
        <v>1013</v>
      </c>
      <c r="C88" s="24" t="s">
        <v>1014</v>
      </c>
    </row>
    <row r="89" spans="1:3" x14ac:dyDescent="0.2">
      <c r="A89" s="13" t="s">
        <v>144</v>
      </c>
      <c r="B89" s="21" t="s">
        <v>1015</v>
      </c>
      <c r="C89" s="24" t="s">
        <v>1016</v>
      </c>
    </row>
    <row r="90" spans="1:3" x14ac:dyDescent="0.2">
      <c r="A90" s="13" t="s">
        <v>196</v>
      </c>
      <c r="B90" s="21" t="s">
        <v>1017</v>
      </c>
      <c r="C90" s="24" t="s">
        <v>71</v>
      </c>
    </row>
    <row r="91" spans="1:3" x14ac:dyDescent="0.2">
      <c r="A91" s="13" t="s">
        <v>199</v>
      </c>
      <c r="B91" s="21" t="s">
        <v>1007</v>
      </c>
      <c r="C91" s="24" t="s">
        <v>71</v>
      </c>
    </row>
    <row r="92" spans="1:3" x14ac:dyDescent="0.2">
      <c r="A92" s="13" t="s">
        <v>206</v>
      </c>
      <c r="B92" s="21" t="s">
        <v>947</v>
      </c>
      <c r="C92" s="24" t="s">
        <v>1018</v>
      </c>
    </row>
    <row r="93" spans="1:3" x14ac:dyDescent="0.2">
      <c r="A93" s="13" t="s">
        <v>231</v>
      </c>
      <c r="B93" s="21" t="s">
        <v>947</v>
      </c>
      <c r="C93" s="24" t="s">
        <v>1019</v>
      </c>
    </row>
    <row r="94" spans="1:3" x14ac:dyDescent="0.2">
      <c r="A94" s="13" t="s">
        <v>233</v>
      </c>
      <c r="B94" s="21" t="s">
        <v>947</v>
      </c>
      <c r="C94" s="24" t="s">
        <v>1020</v>
      </c>
    </row>
    <row r="95" spans="1:3" x14ac:dyDescent="0.2">
      <c r="A95" s="13" t="s">
        <v>234</v>
      </c>
      <c r="B95" s="21" t="s">
        <v>947</v>
      </c>
      <c r="C95" s="24" t="s">
        <v>1021</v>
      </c>
    </row>
    <row r="96" spans="1:3" x14ac:dyDescent="0.2">
      <c r="A96" s="13" t="s">
        <v>1022</v>
      </c>
      <c r="B96" s="21" t="s">
        <v>947</v>
      </c>
      <c r="C96" s="24" t="s">
        <v>1023</v>
      </c>
    </row>
    <row r="97" spans="1:3" x14ac:dyDescent="0.2">
      <c r="A97" s="13" t="s">
        <v>1024</v>
      </c>
      <c r="B97" s="21" t="s">
        <v>947</v>
      </c>
      <c r="C97" s="24" t="s">
        <v>1025</v>
      </c>
    </row>
    <row r="98" spans="1:3" x14ac:dyDescent="0.2">
      <c r="A98" s="13" t="s">
        <v>1026</v>
      </c>
      <c r="B98" s="21" t="s">
        <v>947</v>
      </c>
      <c r="C98" s="24" t="s">
        <v>1027</v>
      </c>
    </row>
    <row r="99" spans="1:3" x14ac:dyDescent="0.2">
      <c r="A99" s="13" t="s">
        <v>1028</v>
      </c>
      <c r="B99" s="21" t="s">
        <v>947</v>
      </c>
      <c r="C99" s="24" t="s">
        <v>1029</v>
      </c>
    </row>
    <row r="100" spans="1:3" x14ac:dyDescent="0.2">
      <c r="A100" s="13" t="s">
        <v>1030</v>
      </c>
      <c r="B100" s="21" t="s">
        <v>947</v>
      </c>
      <c r="C100" s="24" t="s">
        <v>1031</v>
      </c>
    </row>
    <row r="101" spans="1:3" x14ac:dyDescent="0.2">
      <c r="A101" s="13" t="s">
        <v>1032</v>
      </c>
      <c r="B101" s="21" t="s">
        <v>947</v>
      </c>
      <c r="C101" s="24" t="s">
        <v>1033</v>
      </c>
    </row>
    <row r="102" spans="1:3" x14ac:dyDescent="0.2">
      <c r="A102" s="13" t="s">
        <v>1034</v>
      </c>
      <c r="B102" s="21" t="s">
        <v>947</v>
      </c>
      <c r="C102" s="24" t="s">
        <v>1035</v>
      </c>
    </row>
    <row r="103" spans="1:3" x14ac:dyDescent="0.2">
      <c r="A103" s="13" t="s">
        <v>1036</v>
      </c>
      <c r="B103" s="21" t="s">
        <v>947</v>
      </c>
      <c r="C103" s="24" t="s">
        <v>1037</v>
      </c>
    </row>
    <row r="104" spans="1:3" x14ac:dyDescent="0.2">
      <c r="A104" s="13" t="s">
        <v>1038</v>
      </c>
      <c r="B104" s="21" t="s">
        <v>947</v>
      </c>
      <c r="C104" s="24" t="s">
        <v>1039</v>
      </c>
    </row>
    <row r="105" spans="1:3" x14ac:dyDescent="0.2">
      <c r="A105" s="13" t="s">
        <v>1040</v>
      </c>
      <c r="B105" s="21" t="s">
        <v>947</v>
      </c>
      <c r="C105" s="24" t="s">
        <v>1041</v>
      </c>
    </row>
    <row r="106" spans="1:3" x14ac:dyDescent="0.2">
      <c r="A106" s="13" t="s">
        <v>243</v>
      </c>
      <c r="B106" s="21" t="s">
        <v>947</v>
      </c>
      <c r="C106" s="24" t="s">
        <v>1042</v>
      </c>
    </row>
    <row r="107" spans="1:3" x14ac:dyDescent="0.2">
      <c r="A107" s="13" t="s">
        <v>245</v>
      </c>
      <c r="B107" s="21" t="s">
        <v>947</v>
      </c>
      <c r="C107" s="24" t="s">
        <v>240</v>
      </c>
    </row>
    <row r="108" spans="1:3" x14ac:dyDescent="0.2">
      <c r="A108" s="13" t="s">
        <v>1043</v>
      </c>
      <c r="B108" s="21" t="s">
        <v>947</v>
      </c>
      <c r="C108" s="24" t="s">
        <v>1044</v>
      </c>
    </row>
    <row r="109" spans="1:3" x14ac:dyDescent="0.2">
      <c r="A109" s="13" t="s">
        <v>246</v>
      </c>
      <c r="B109" s="21" t="s">
        <v>947</v>
      </c>
      <c r="C109" s="24" t="s">
        <v>1045</v>
      </c>
    </row>
    <row r="110" spans="1:3" x14ac:dyDescent="0.2">
      <c r="A110" s="13" t="s">
        <v>247</v>
      </c>
      <c r="B110" s="21" t="s">
        <v>947</v>
      </c>
      <c r="C110" s="24" t="s">
        <v>241</v>
      </c>
    </row>
    <row r="111" spans="1:3" x14ac:dyDescent="0.2">
      <c r="A111" s="13" t="s">
        <v>1046</v>
      </c>
      <c r="B111" s="21" t="s">
        <v>947</v>
      </c>
      <c r="C111" s="24" t="s">
        <v>1047</v>
      </c>
    </row>
    <row r="112" spans="1:3" x14ac:dyDescent="0.2">
      <c r="A112" s="13" t="s">
        <v>248</v>
      </c>
      <c r="B112" s="21" t="s">
        <v>947</v>
      </c>
      <c r="C112" s="24" t="s">
        <v>1048</v>
      </c>
    </row>
    <row r="113" spans="1:3" x14ac:dyDescent="0.2">
      <c r="A113" s="13" t="s">
        <v>1049</v>
      </c>
      <c r="B113" s="21" t="s">
        <v>947</v>
      </c>
      <c r="C113" s="24" t="s">
        <v>1050</v>
      </c>
    </row>
    <row r="114" spans="1:3" x14ac:dyDescent="0.2">
      <c r="A114" s="13" t="s">
        <v>279</v>
      </c>
      <c r="B114" s="21" t="s">
        <v>1908</v>
      </c>
      <c r="C114" s="24" t="s">
        <v>42</v>
      </c>
    </row>
    <row r="115" spans="1:3" x14ac:dyDescent="0.2">
      <c r="A115" s="13" t="s">
        <v>327</v>
      </c>
      <c r="B115" s="21" t="s">
        <v>947</v>
      </c>
      <c r="C115" s="24" t="s">
        <v>1051</v>
      </c>
    </row>
    <row r="116" spans="1:3" x14ac:dyDescent="0.2">
      <c r="A116" s="13" t="s">
        <v>328</v>
      </c>
      <c r="B116" s="21" t="s">
        <v>947</v>
      </c>
      <c r="C116" s="24" t="s">
        <v>1052</v>
      </c>
    </row>
    <row r="117" spans="1:3" x14ac:dyDescent="0.2">
      <c r="A117" s="13" t="s">
        <v>329</v>
      </c>
      <c r="B117" s="21" t="s">
        <v>947</v>
      </c>
      <c r="C117" s="24" t="s">
        <v>1053</v>
      </c>
    </row>
    <row r="118" spans="1:3" x14ac:dyDescent="0.2">
      <c r="A118" s="13" t="s">
        <v>330</v>
      </c>
      <c r="B118" s="21" t="s">
        <v>947</v>
      </c>
      <c r="C118" s="24" t="s">
        <v>1054</v>
      </c>
    </row>
    <row r="119" spans="1:3" x14ac:dyDescent="0.2">
      <c r="A119" s="13" t="s">
        <v>1055</v>
      </c>
      <c r="B119" s="21" t="s">
        <v>947</v>
      </c>
      <c r="C119" s="24" t="s">
        <v>1056</v>
      </c>
    </row>
    <row r="120" spans="1:3" x14ac:dyDescent="0.2">
      <c r="A120" s="13" t="s">
        <v>331</v>
      </c>
      <c r="B120" s="21" t="s">
        <v>1006</v>
      </c>
      <c r="C120" s="24" t="s">
        <v>332</v>
      </c>
    </row>
    <row r="121" spans="1:3" x14ac:dyDescent="0.2">
      <c r="A121" s="13" t="s">
        <v>339</v>
      </c>
      <c r="B121" s="21" t="s">
        <v>1057</v>
      </c>
      <c r="C121" s="24" t="s">
        <v>1058</v>
      </c>
    </row>
    <row r="122" spans="1:3" x14ac:dyDescent="0.2">
      <c r="A122" s="13" t="s">
        <v>360</v>
      </c>
      <c r="B122" s="21" t="s">
        <v>947</v>
      </c>
      <c r="C122" s="24" t="s">
        <v>1059</v>
      </c>
    </row>
    <row r="123" spans="1:3" x14ac:dyDescent="0.2">
      <c r="A123" s="13" t="s">
        <v>361</v>
      </c>
      <c r="B123" s="21" t="s">
        <v>947</v>
      </c>
      <c r="C123" s="24" t="s">
        <v>1060</v>
      </c>
    </row>
    <row r="124" spans="1:3" x14ac:dyDescent="0.2">
      <c r="A124" s="13" t="s">
        <v>362</v>
      </c>
      <c r="B124" s="21" t="s">
        <v>947</v>
      </c>
      <c r="C124" s="24" t="s">
        <v>1061</v>
      </c>
    </row>
    <row r="125" spans="1:3" x14ac:dyDescent="0.2">
      <c r="A125" s="13" t="s">
        <v>363</v>
      </c>
      <c r="B125" s="21" t="s">
        <v>947</v>
      </c>
      <c r="C125" s="24" t="s">
        <v>1062</v>
      </c>
    </row>
    <row r="126" spans="1:3" x14ac:dyDescent="0.2">
      <c r="A126" s="13" t="s">
        <v>1063</v>
      </c>
      <c r="B126" s="21" t="s">
        <v>947</v>
      </c>
      <c r="C126" s="24" t="s">
        <v>1064</v>
      </c>
    </row>
    <row r="127" spans="1:3" x14ac:dyDescent="0.2">
      <c r="A127" s="13" t="s">
        <v>366</v>
      </c>
      <c r="B127" s="21" t="s">
        <v>947</v>
      </c>
      <c r="C127" s="24" t="s">
        <v>1065</v>
      </c>
    </row>
    <row r="128" spans="1:3" x14ac:dyDescent="0.2">
      <c r="A128" s="13" t="s">
        <v>367</v>
      </c>
      <c r="B128" s="21" t="s">
        <v>947</v>
      </c>
      <c r="C128" s="24" t="s">
        <v>1066</v>
      </c>
    </row>
    <row r="129" spans="1:3" x14ac:dyDescent="0.2">
      <c r="A129" s="13" t="s">
        <v>370</v>
      </c>
      <c r="B129" s="21" t="s">
        <v>947</v>
      </c>
      <c r="C129" s="24" t="s">
        <v>1067</v>
      </c>
    </row>
    <row r="130" spans="1:3" x14ac:dyDescent="0.2">
      <c r="A130" s="13" t="s">
        <v>371</v>
      </c>
      <c r="B130" s="21" t="s">
        <v>947</v>
      </c>
      <c r="C130" s="24" t="s">
        <v>1068</v>
      </c>
    </row>
    <row r="131" spans="1:3" x14ac:dyDescent="0.2">
      <c r="A131" s="13" t="s">
        <v>372</v>
      </c>
      <c r="B131" s="21" t="s">
        <v>947</v>
      </c>
      <c r="C131" s="24" t="s">
        <v>1069</v>
      </c>
    </row>
    <row r="132" spans="1:3" x14ac:dyDescent="0.2">
      <c r="A132" s="13" t="s">
        <v>373</v>
      </c>
      <c r="B132" s="21" t="s">
        <v>947</v>
      </c>
      <c r="C132" s="24" t="s">
        <v>1070</v>
      </c>
    </row>
    <row r="133" spans="1:3" x14ac:dyDescent="0.2">
      <c r="A133" s="13" t="s">
        <v>1071</v>
      </c>
      <c r="B133" s="21" t="s">
        <v>947</v>
      </c>
      <c r="C133" s="24" t="s">
        <v>1072</v>
      </c>
    </row>
    <row r="134" spans="1:3" x14ac:dyDescent="0.2">
      <c r="A134" s="13" t="s">
        <v>375</v>
      </c>
      <c r="B134" s="21" t="s">
        <v>1017</v>
      </c>
      <c r="C134" s="24" t="s">
        <v>1073</v>
      </c>
    </row>
    <row r="135" spans="1:3" x14ac:dyDescent="0.2">
      <c r="A135" s="13" t="s">
        <v>385</v>
      </c>
      <c r="B135" s="21" t="s">
        <v>1009</v>
      </c>
      <c r="C135" s="24" t="s">
        <v>1074</v>
      </c>
    </row>
    <row r="136" spans="1:3" x14ac:dyDescent="0.2">
      <c r="A136" s="13" t="s">
        <v>393</v>
      </c>
      <c r="B136" s="21" t="s">
        <v>1075</v>
      </c>
      <c r="C136" s="24" t="s">
        <v>394</v>
      </c>
    </row>
    <row r="137" spans="1:3" x14ac:dyDescent="0.2">
      <c r="A137" s="13" t="s">
        <v>396</v>
      </c>
      <c r="B137" s="21" t="s">
        <v>1075</v>
      </c>
      <c r="C137" s="24" t="s">
        <v>397</v>
      </c>
    </row>
    <row r="138" spans="1:3" x14ac:dyDescent="0.2">
      <c r="A138" s="13" t="s">
        <v>400</v>
      </c>
      <c r="B138" s="21" t="s">
        <v>1057</v>
      </c>
      <c r="C138" s="24" t="s">
        <v>1076</v>
      </c>
    </row>
    <row r="139" spans="1:3" x14ac:dyDescent="0.2">
      <c r="A139" s="13" t="s">
        <v>712</v>
      </c>
      <c r="B139" s="21" t="s">
        <v>932</v>
      </c>
      <c r="C139" s="24" t="s">
        <v>1077</v>
      </c>
    </row>
    <row r="140" spans="1:3" x14ac:dyDescent="0.2">
      <c r="A140" s="13" t="s">
        <v>563</v>
      </c>
      <c r="B140" s="21" t="s">
        <v>970</v>
      </c>
      <c r="C140" s="24" t="s">
        <v>1078</v>
      </c>
    </row>
    <row r="141" spans="1:3" x14ac:dyDescent="0.2">
      <c r="A141" s="13" t="s">
        <v>426</v>
      </c>
      <c r="B141" s="21" t="s">
        <v>1079</v>
      </c>
      <c r="C141" s="24" t="s">
        <v>1080</v>
      </c>
    </row>
    <row r="142" spans="1:3" x14ac:dyDescent="0.2">
      <c r="A142" s="13" t="s">
        <v>430</v>
      </c>
      <c r="B142" s="21" t="s">
        <v>1079</v>
      </c>
      <c r="C142" s="24" t="s">
        <v>1081</v>
      </c>
    </row>
    <row r="143" spans="1:3" x14ac:dyDescent="0.2">
      <c r="A143" s="13" t="s">
        <v>494</v>
      </c>
      <c r="B143" s="21" t="s">
        <v>1009</v>
      </c>
      <c r="C143" s="24" t="s">
        <v>1082</v>
      </c>
    </row>
    <row r="144" spans="1:3" x14ac:dyDescent="0.2">
      <c r="A144" s="13" t="s">
        <v>497</v>
      </c>
      <c r="B144" s="21" t="s">
        <v>1009</v>
      </c>
      <c r="C144" s="24" t="s">
        <v>232</v>
      </c>
    </row>
    <row r="145" spans="1:3" x14ac:dyDescent="0.2">
      <c r="A145" s="13" t="s">
        <v>498</v>
      </c>
      <c r="B145" s="21" t="s">
        <v>947</v>
      </c>
      <c r="C145" s="24" t="s">
        <v>1083</v>
      </c>
    </row>
    <row r="146" spans="1:3" x14ac:dyDescent="0.2">
      <c r="A146" s="13" t="s">
        <v>499</v>
      </c>
      <c r="B146" s="21" t="s">
        <v>947</v>
      </c>
      <c r="C146" s="24" t="s">
        <v>1084</v>
      </c>
    </row>
    <row r="147" spans="1:3" x14ac:dyDescent="0.2">
      <c r="A147" s="13" t="s">
        <v>500</v>
      </c>
      <c r="B147" s="21" t="s">
        <v>947</v>
      </c>
      <c r="C147" s="24" t="s">
        <v>1085</v>
      </c>
    </row>
    <row r="148" spans="1:3" x14ac:dyDescent="0.2">
      <c r="A148" s="13" t="s">
        <v>501</v>
      </c>
      <c r="B148" s="21" t="s">
        <v>947</v>
      </c>
      <c r="C148" s="24" t="s">
        <v>1086</v>
      </c>
    </row>
    <row r="149" spans="1:3" x14ac:dyDescent="0.2">
      <c r="A149" s="13" t="s">
        <v>502</v>
      </c>
      <c r="B149" s="21" t="s">
        <v>947</v>
      </c>
      <c r="C149" s="24" t="s">
        <v>1087</v>
      </c>
    </row>
    <row r="150" spans="1:3" x14ac:dyDescent="0.2">
      <c r="A150" s="13" t="s">
        <v>503</v>
      </c>
      <c r="B150" s="21" t="s">
        <v>947</v>
      </c>
      <c r="C150" s="24" t="s">
        <v>1088</v>
      </c>
    </row>
    <row r="151" spans="1:3" x14ac:dyDescent="0.2">
      <c r="A151" s="13" t="s">
        <v>1089</v>
      </c>
      <c r="B151" s="21" t="s">
        <v>1017</v>
      </c>
      <c r="C151" s="24" t="s">
        <v>1090</v>
      </c>
    </row>
    <row r="152" spans="1:3" x14ac:dyDescent="0.2">
      <c r="A152" s="13" t="s">
        <v>569</v>
      </c>
      <c r="B152" s="21" t="s">
        <v>1091</v>
      </c>
      <c r="C152" s="24" t="s">
        <v>1092</v>
      </c>
    </row>
    <row r="153" spans="1:3" x14ac:dyDescent="0.2">
      <c r="A153" s="13" t="s">
        <v>570</v>
      </c>
      <c r="B153" s="21" t="s">
        <v>1091</v>
      </c>
      <c r="C153" s="24" t="s">
        <v>1093</v>
      </c>
    </row>
    <row r="154" spans="1:3" x14ac:dyDescent="0.2">
      <c r="A154" s="13" t="s">
        <v>571</v>
      </c>
      <c r="B154" s="21" t="s">
        <v>932</v>
      </c>
      <c r="C154" s="24" t="s">
        <v>561</v>
      </c>
    </row>
    <row r="155" spans="1:3" x14ac:dyDescent="0.2">
      <c r="A155" s="13" t="s">
        <v>572</v>
      </c>
      <c r="B155" s="21" t="s">
        <v>932</v>
      </c>
      <c r="C155" s="24" t="s">
        <v>562</v>
      </c>
    </row>
    <row r="156" spans="1:3" x14ac:dyDescent="0.2">
      <c r="A156" s="13" t="s">
        <v>573</v>
      </c>
      <c r="B156" s="21" t="s">
        <v>947</v>
      </c>
      <c r="C156" s="24" t="s">
        <v>1094</v>
      </c>
    </row>
    <row r="157" spans="1:3" x14ac:dyDescent="0.2">
      <c r="A157" s="13" t="s">
        <v>574</v>
      </c>
      <c r="B157" s="21" t="s">
        <v>947</v>
      </c>
      <c r="C157" s="24" t="s">
        <v>1095</v>
      </c>
    </row>
    <row r="158" spans="1:3" x14ac:dyDescent="0.2">
      <c r="A158" s="13" t="s">
        <v>577</v>
      </c>
      <c r="B158" s="21" t="s">
        <v>947</v>
      </c>
      <c r="C158" s="24" t="s">
        <v>1096</v>
      </c>
    </row>
    <row r="159" spans="1:3" x14ac:dyDescent="0.2">
      <c r="A159" s="13" t="s">
        <v>578</v>
      </c>
      <c r="B159" s="21" t="s">
        <v>947</v>
      </c>
      <c r="C159" s="24" t="s">
        <v>1097</v>
      </c>
    </row>
    <row r="160" spans="1:3" x14ac:dyDescent="0.2">
      <c r="A160" s="13" t="s">
        <v>579</v>
      </c>
      <c r="B160" s="21" t="s">
        <v>947</v>
      </c>
      <c r="C160" s="24" t="s">
        <v>1098</v>
      </c>
    </row>
    <row r="161" spans="1:3" x14ac:dyDescent="0.2">
      <c r="A161" s="13" t="s">
        <v>580</v>
      </c>
      <c r="B161" s="21" t="s">
        <v>947</v>
      </c>
      <c r="C161" s="24" t="s">
        <v>1099</v>
      </c>
    </row>
    <row r="162" spans="1:3" x14ac:dyDescent="0.2">
      <c r="A162" s="13" t="s">
        <v>1100</v>
      </c>
      <c r="B162" s="21" t="s">
        <v>947</v>
      </c>
      <c r="C162" s="24" t="s">
        <v>1101</v>
      </c>
    </row>
    <row r="163" spans="1:3" x14ac:dyDescent="0.2">
      <c r="A163" s="13" t="s">
        <v>581</v>
      </c>
      <c r="B163" s="21" t="s">
        <v>947</v>
      </c>
      <c r="C163" s="24" t="s">
        <v>1102</v>
      </c>
    </row>
    <row r="164" spans="1:3" x14ac:dyDescent="0.2">
      <c r="A164" s="13" t="s">
        <v>582</v>
      </c>
      <c r="B164" s="21" t="s">
        <v>947</v>
      </c>
      <c r="C164" s="24" t="s">
        <v>1103</v>
      </c>
    </row>
    <row r="165" spans="1:3" x14ac:dyDescent="0.2">
      <c r="A165" s="13" t="s">
        <v>1104</v>
      </c>
      <c r="B165" s="21" t="s">
        <v>947</v>
      </c>
      <c r="C165" s="24" t="s">
        <v>1105</v>
      </c>
    </row>
    <row r="166" spans="1:3" x14ac:dyDescent="0.2">
      <c r="A166" s="13" t="s">
        <v>1106</v>
      </c>
      <c r="B166" s="21" t="s">
        <v>947</v>
      </c>
      <c r="C166" s="24" t="s">
        <v>1107</v>
      </c>
    </row>
    <row r="167" spans="1:3" x14ac:dyDescent="0.2">
      <c r="A167" s="13" t="s">
        <v>583</v>
      </c>
      <c r="B167" s="21" t="s">
        <v>947</v>
      </c>
      <c r="C167" s="24" t="s">
        <v>1108</v>
      </c>
    </row>
    <row r="168" spans="1:3" x14ac:dyDescent="0.2">
      <c r="A168" s="13" t="s">
        <v>584</v>
      </c>
      <c r="B168" s="21" t="s">
        <v>947</v>
      </c>
      <c r="C168" s="24" t="s">
        <v>1109</v>
      </c>
    </row>
    <row r="169" spans="1:3" x14ac:dyDescent="0.2">
      <c r="A169" s="13" t="s">
        <v>1110</v>
      </c>
      <c r="B169" s="21" t="s">
        <v>947</v>
      </c>
      <c r="C169" s="24" t="s">
        <v>1111</v>
      </c>
    </row>
    <row r="170" spans="1:3" x14ac:dyDescent="0.2">
      <c r="A170" s="13" t="s">
        <v>1112</v>
      </c>
      <c r="B170" s="21" t="s">
        <v>947</v>
      </c>
      <c r="C170" s="24" t="s">
        <v>1113</v>
      </c>
    </row>
    <row r="171" spans="1:3" x14ac:dyDescent="0.2">
      <c r="A171" s="13" t="s">
        <v>622</v>
      </c>
      <c r="B171" s="21" t="s">
        <v>947</v>
      </c>
      <c r="C171" s="24" t="s">
        <v>1114</v>
      </c>
    </row>
    <row r="172" spans="1:3" x14ac:dyDescent="0.2">
      <c r="A172" s="13" t="s">
        <v>624</v>
      </c>
      <c r="B172" s="21" t="s">
        <v>947</v>
      </c>
      <c r="C172" s="24" t="s">
        <v>1115</v>
      </c>
    </row>
    <row r="173" spans="1:3" x14ac:dyDescent="0.2">
      <c r="A173" s="13" t="s">
        <v>552</v>
      </c>
      <c r="B173" s="28" t="s">
        <v>1116</v>
      </c>
      <c r="C173" s="24" t="s">
        <v>1117</v>
      </c>
    </row>
    <row r="174" spans="1:3" x14ac:dyDescent="0.2">
      <c r="A174" s="13" t="s">
        <v>341</v>
      </c>
      <c r="B174" s="28" t="s">
        <v>1116</v>
      </c>
      <c r="C174" s="24" t="s">
        <v>1118</v>
      </c>
    </row>
    <row r="175" spans="1:3" x14ac:dyDescent="0.2">
      <c r="A175" s="13" t="s">
        <v>538</v>
      </c>
      <c r="B175" s="28" t="s">
        <v>1116</v>
      </c>
      <c r="C175" s="24" t="s">
        <v>71</v>
      </c>
    </row>
    <row r="176" spans="1:3" x14ac:dyDescent="0.2">
      <c r="A176" s="13" t="s">
        <v>631</v>
      </c>
      <c r="B176" s="21" t="s">
        <v>1075</v>
      </c>
      <c r="C176" s="24" t="s">
        <v>561</v>
      </c>
    </row>
    <row r="177" spans="1:3" x14ac:dyDescent="0.2">
      <c r="A177" s="13" t="s">
        <v>623</v>
      </c>
      <c r="B177" s="21" t="s">
        <v>947</v>
      </c>
      <c r="C177" s="24" t="s">
        <v>1119</v>
      </c>
    </row>
    <row r="178" spans="1:3" x14ac:dyDescent="0.2">
      <c r="A178" s="13" t="s">
        <v>625</v>
      </c>
      <c r="B178" s="21" t="s">
        <v>947</v>
      </c>
      <c r="C178" s="24" t="s">
        <v>1120</v>
      </c>
    </row>
    <row r="179" spans="1:3" x14ac:dyDescent="0.2">
      <c r="A179" s="13" t="s">
        <v>1121</v>
      </c>
      <c r="B179" s="21" t="s">
        <v>947</v>
      </c>
      <c r="C179" s="24" t="s">
        <v>1122</v>
      </c>
    </row>
    <row r="180" spans="1:3" x14ac:dyDescent="0.2">
      <c r="A180" s="13" t="s">
        <v>1123</v>
      </c>
      <c r="B180" s="21" t="s">
        <v>932</v>
      </c>
      <c r="C180" s="24" t="s">
        <v>1124</v>
      </c>
    </row>
    <row r="181" spans="1:3" x14ac:dyDescent="0.2">
      <c r="A181" s="13" t="s">
        <v>1125</v>
      </c>
      <c r="B181" s="21" t="s">
        <v>932</v>
      </c>
      <c r="C181" s="24" t="s">
        <v>1126</v>
      </c>
    </row>
    <row r="182" spans="1:3" x14ac:dyDescent="0.2">
      <c r="A182" s="13" t="s">
        <v>1127</v>
      </c>
      <c r="B182" s="21" t="s">
        <v>932</v>
      </c>
      <c r="C182" s="24" t="s">
        <v>1128</v>
      </c>
    </row>
    <row r="183" spans="1:3" x14ac:dyDescent="0.2">
      <c r="A183" s="13" t="s">
        <v>1129</v>
      </c>
      <c r="B183" s="21" t="s">
        <v>932</v>
      </c>
      <c r="C183" s="24" t="s">
        <v>1130</v>
      </c>
    </row>
    <row r="184" spans="1:3" x14ac:dyDescent="0.2">
      <c r="A184" s="13" t="s">
        <v>1131</v>
      </c>
      <c r="B184" s="21" t="s">
        <v>1017</v>
      </c>
      <c r="C184" s="24" t="s">
        <v>1132</v>
      </c>
    </row>
    <row r="185" spans="1:3" x14ac:dyDescent="0.2">
      <c r="A185" s="13" t="s">
        <v>1133</v>
      </c>
      <c r="B185" s="21" t="s">
        <v>1017</v>
      </c>
      <c r="C185" s="24" t="s">
        <v>71</v>
      </c>
    </row>
    <row r="186" spans="1:3" x14ac:dyDescent="0.2">
      <c r="A186" s="13" t="s">
        <v>250</v>
      </c>
      <c r="B186" s="21" t="s">
        <v>1017</v>
      </c>
      <c r="C186" s="24" t="s">
        <v>1134</v>
      </c>
    </row>
    <row r="187" spans="1:3" x14ac:dyDescent="0.2">
      <c r="A187" s="13" t="s">
        <v>249</v>
      </c>
      <c r="B187" s="21" t="s">
        <v>1017</v>
      </c>
      <c r="C187" s="24" t="s">
        <v>1135</v>
      </c>
    </row>
    <row r="188" spans="1:3" x14ac:dyDescent="0.2">
      <c r="A188" s="13" t="s">
        <v>117</v>
      </c>
      <c r="B188" s="21" t="s">
        <v>970</v>
      </c>
      <c r="C188" s="24" t="s">
        <v>1136</v>
      </c>
    </row>
    <row r="189" spans="1:3" x14ac:dyDescent="0.2">
      <c r="A189" s="13" t="s">
        <v>716</v>
      </c>
      <c r="B189" s="21" t="s">
        <v>932</v>
      </c>
      <c r="C189" s="24" t="s">
        <v>1137</v>
      </c>
    </row>
    <row r="190" spans="1:3" x14ac:dyDescent="0.2">
      <c r="A190" s="13" t="s">
        <v>710</v>
      </c>
      <c r="B190" s="21" t="s">
        <v>932</v>
      </c>
      <c r="C190" s="24" t="s">
        <v>711</v>
      </c>
    </row>
    <row r="191" spans="1:3" x14ac:dyDescent="0.2">
      <c r="A191" s="13" t="s">
        <v>714</v>
      </c>
      <c r="B191" s="21" t="s">
        <v>932</v>
      </c>
      <c r="C191" s="24" t="s">
        <v>1138</v>
      </c>
    </row>
    <row r="192" spans="1:3" x14ac:dyDescent="0.2">
      <c r="A192" s="13" t="s">
        <v>1139</v>
      </c>
      <c r="B192" s="21" t="s">
        <v>932</v>
      </c>
      <c r="C192" s="24" t="s">
        <v>715</v>
      </c>
    </row>
    <row r="193" spans="1:3" x14ac:dyDescent="0.2">
      <c r="A193" s="13" t="s">
        <v>130</v>
      </c>
      <c r="B193" s="21" t="s">
        <v>970</v>
      </c>
      <c r="C193" s="24" t="s">
        <v>1140</v>
      </c>
    </row>
    <row r="194" spans="1:3" x14ac:dyDescent="0.2">
      <c r="A194" s="13" t="s">
        <v>689</v>
      </c>
      <c r="B194" s="21" t="s">
        <v>1141</v>
      </c>
      <c r="C194" s="24" t="s">
        <v>1142</v>
      </c>
    </row>
    <row r="195" spans="1:3" x14ac:dyDescent="0.2">
      <c r="A195" s="13" t="s">
        <v>698</v>
      </c>
      <c r="B195" s="21" t="s">
        <v>932</v>
      </c>
      <c r="C195" s="24" t="s">
        <v>1143</v>
      </c>
    </row>
    <row r="196" spans="1:3" x14ac:dyDescent="0.2">
      <c r="A196" s="13" t="s">
        <v>771</v>
      </c>
      <c r="B196" s="21" t="s">
        <v>1005</v>
      </c>
      <c r="C196" s="24" t="s">
        <v>1144</v>
      </c>
    </row>
    <row r="197" spans="1:3" x14ac:dyDescent="0.2">
      <c r="A197" s="13" t="s">
        <v>137</v>
      </c>
      <c r="B197" s="21" t="s">
        <v>970</v>
      </c>
      <c r="C197" s="24" t="s">
        <v>1145</v>
      </c>
    </row>
    <row r="198" spans="1:3" x14ac:dyDescent="0.2">
      <c r="A198" s="13" t="s">
        <v>682</v>
      </c>
      <c r="B198" s="21" t="s">
        <v>970</v>
      </c>
      <c r="C198" s="24" t="s">
        <v>1146</v>
      </c>
    </row>
    <row r="199" spans="1:3" x14ac:dyDescent="0.2">
      <c r="A199" s="13" t="s">
        <v>539</v>
      </c>
      <c r="B199" s="21" t="s">
        <v>1147</v>
      </c>
      <c r="C199" s="24" t="s">
        <v>1148</v>
      </c>
    </row>
    <row r="200" spans="1:3" x14ac:dyDescent="0.2">
      <c r="A200" s="13" t="s">
        <v>429</v>
      </c>
      <c r="B200" s="21" t="s">
        <v>1079</v>
      </c>
      <c r="C200" s="24" t="s">
        <v>1149</v>
      </c>
    </row>
    <row r="201" spans="1:3" x14ac:dyDescent="0.2">
      <c r="A201" s="13" t="s">
        <v>36</v>
      </c>
      <c r="B201" s="21" t="s">
        <v>932</v>
      </c>
      <c r="C201" s="24" t="s">
        <v>30</v>
      </c>
    </row>
    <row r="202" spans="1:3" x14ac:dyDescent="0.2">
      <c r="A202" s="13" t="s">
        <v>50</v>
      </c>
      <c r="B202" s="21" t="s">
        <v>1007</v>
      </c>
      <c r="C202" s="24" t="s">
        <v>51</v>
      </c>
    </row>
    <row r="203" spans="1:3" x14ac:dyDescent="0.2">
      <c r="A203" s="13" t="s">
        <v>53</v>
      </c>
      <c r="B203" s="21" t="s">
        <v>1007</v>
      </c>
      <c r="C203" s="24" t="s">
        <v>54</v>
      </c>
    </row>
    <row r="204" spans="1:3" x14ac:dyDescent="0.2">
      <c r="A204" s="13" t="s">
        <v>61</v>
      </c>
      <c r="B204" s="21" t="s">
        <v>1005</v>
      </c>
      <c r="C204" s="24" t="s">
        <v>51</v>
      </c>
    </row>
    <row r="205" spans="1:3" x14ac:dyDescent="0.2">
      <c r="A205" s="13" t="s">
        <v>63</v>
      </c>
      <c r="B205" s="21" t="s">
        <v>1005</v>
      </c>
      <c r="C205" s="24" t="s">
        <v>54</v>
      </c>
    </row>
    <row r="206" spans="1:3" x14ac:dyDescent="0.2">
      <c r="A206" s="13" t="s">
        <v>80</v>
      </c>
      <c r="B206" s="21" t="s">
        <v>999</v>
      </c>
      <c r="C206" s="24" t="s">
        <v>1150</v>
      </c>
    </row>
    <row r="207" spans="1:3" x14ac:dyDescent="0.2">
      <c r="A207" s="13" t="s">
        <v>81</v>
      </c>
      <c r="B207" s="21" t="s">
        <v>1006</v>
      </c>
      <c r="C207" s="24" t="s">
        <v>48</v>
      </c>
    </row>
    <row r="208" spans="1:3" x14ac:dyDescent="0.2">
      <c r="A208" s="13" t="s">
        <v>82</v>
      </c>
      <c r="B208" s="21" t="s">
        <v>1005</v>
      </c>
      <c r="C208" s="24" t="s">
        <v>1151</v>
      </c>
    </row>
    <row r="209" spans="1:3" x14ac:dyDescent="0.2">
      <c r="A209" s="13" t="s">
        <v>85</v>
      </c>
      <c r="B209" s="21" t="s">
        <v>1007</v>
      </c>
      <c r="C209" s="24" t="s">
        <v>48</v>
      </c>
    </row>
    <row r="210" spans="1:3" x14ac:dyDescent="0.2">
      <c r="A210" s="13" t="s">
        <v>101</v>
      </c>
      <c r="B210" s="21" t="s">
        <v>1011</v>
      </c>
      <c r="C210" s="24" t="s">
        <v>1152</v>
      </c>
    </row>
    <row r="211" spans="1:3" x14ac:dyDescent="0.2">
      <c r="A211" s="13" t="s">
        <v>133</v>
      </c>
      <c r="B211" s="21" t="s">
        <v>1013</v>
      </c>
      <c r="C211" s="24" t="s">
        <v>1153</v>
      </c>
    </row>
    <row r="212" spans="1:3" x14ac:dyDescent="0.2">
      <c r="A212" s="13" t="s">
        <v>193</v>
      </c>
      <c r="B212" s="21" t="s">
        <v>1009</v>
      </c>
      <c r="C212" s="24" t="s">
        <v>1154</v>
      </c>
    </row>
    <row r="213" spans="1:3" x14ac:dyDescent="0.2">
      <c r="A213" s="13" t="s">
        <v>197</v>
      </c>
      <c r="B213" s="21" t="s">
        <v>1017</v>
      </c>
      <c r="C213" s="24" t="s">
        <v>7</v>
      </c>
    </row>
    <row r="214" spans="1:3" x14ac:dyDescent="0.2">
      <c r="A214" s="13" t="s">
        <v>230</v>
      </c>
      <c r="B214" s="21" t="s">
        <v>1017</v>
      </c>
      <c r="C214" s="24" t="s">
        <v>1155</v>
      </c>
    </row>
    <row r="215" spans="1:3" x14ac:dyDescent="0.2">
      <c r="A215" s="13" t="s">
        <v>236</v>
      </c>
      <c r="B215" s="21" t="s">
        <v>947</v>
      </c>
      <c r="C215" s="24" t="s">
        <v>1156</v>
      </c>
    </row>
    <row r="216" spans="1:3" x14ac:dyDescent="0.2">
      <c r="A216" s="13" t="s">
        <v>237</v>
      </c>
      <c r="B216" s="21" t="s">
        <v>947</v>
      </c>
      <c r="C216" s="24" t="s">
        <v>1157</v>
      </c>
    </row>
    <row r="217" spans="1:3" x14ac:dyDescent="0.2">
      <c r="A217" s="13" t="s">
        <v>238</v>
      </c>
      <c r="B217" s="21" t="s">
        <v>947</v>
      </c>
      <c r="C217" s="24" t="s">
        <v>1158</v>
      </c>
    </row>
    <row r="218" spans="1:3" x14ac:dyDescent="0.2">
      <c r="A218" s="13" t="s">
        <v>239</v>
      </c>
      <c r="B218" s="21" t="s">
        <v>947</v>
      </c>
      <c r="C218" s="24" t="s">
        <v>1159</v>
      </c>
    </row>
    <row r="219" spans="1:3" x14ac:dyDescent="0.2">
      <c r="A219" s="13" t="s">
        <v>1160</v>
      </c>
      <c r="B219" s="21" t="s">
        <v>947</v>
      </c>
      <c r="C219" s="24" t="s">
        <v>1161</v>
      </c>
    </row>
    <row r="220" spans="1:3" x14ac:dyDescent="0.2">
      <c r="A220" s="13" t="s">
        <v>242</v>
      </c>
      <c r="B220" s="21" t="s">
        <v>947</v>
      </c>
      <c r="C220" s="24" t="s">
        <v>1162</v>
      </c>
    </row>
    <row r="221" spans="1:3" x14ac:dyDescent="0.2">
      <c r="A221" s="13" t="s">
        <v>1163</v>
      </c>
      <c r="B221" s="21" t="s">
        <v>947</v>
      </c>
      <c r="C221" s="24" t="s">
        <v>1164</v>
      </c>
    </row>
    <row r="222" spans="1:3" x14ac:dyDescent="0.2">
      <c r="A222" s="13" t="s">
        <v>244</v>
      </c>
      <c r="B222" s="21" t="s">
        <v>947</v>
      </c>
      <c r="C222" s="24" t="s">
        <v>1165</v>
      </c>
    </row>
    <row r="223" spans="1:3" x14ac:dyDescent="0.2">
      <c r="A223" s="13" t="s">
        <v>251</v>
      </c>
      <c r="B223" s="21" t="s">
        <v>947</v>
      </c>
      <c r="C223" s="24" t="s">
        <v>1166</v>
      </c>
    </row>
    <row r="224" spans="1:3" x14ac:dyDescent="0.2">
      <c r="A224" s="13" t="s">
        <v>1167</v>
      </c>
      <c r="B224" s="21" t="s">
        <v>947</v>
      </c>
      <c r="C224" s="24" t="s">
        <v>1168</v>
      </c>
    </row>
    <row r="225" spans="1:3" x14ac:dyDescent="0.2">
      <c r="A225" s="13" t="s">
        <v>1169</v>
      </c>
      <c r="B225" s="21" t="s">
        <v>947</v>
      </c>
      <c r="C225" s="24" t="s">
        <v>1170</v>
      </c>
    </row>
    <row r="226" spans="1:3" x14ac:dyDescent="0.2">
      <c r="A226" s="13" t="s">
        <v>252</v>
      </c>
      <c r="B226" s="21" t="s">
        <v>947</v>
      </c>
      <c r="C226" s="24" t="s">
        <v>1171</v>
      </c>
    </row>
    <row r="227" spans="1:3" x14ac:dyDescent="0.2">
      <c r="A227" s="13" t="s">
        <v>257</v>
      </c>
      <c r="B227" s="21" t="s">
        <v>947</v>
      </c>
      <c r="C227" s="24" t="s">
        <v>1172</v>
      </c>
    </row>
    <row r="228" spans="1:3" x14ac:dyDescent="0.2">
      <c r="A228" s="13" t="s">
        <v>258</v>
      </c>
      <c r="B228" s="21" t="s">
        <v>947</v>
      </c>
      <c r="C228" s="24" t="s">
        <v>1173</v>
      </c>
    </row>
    <row r="229" spans="1:3" x14ac:dyDescent="0.2">
      <c r="A229" s="13" t="s">
        <v>259</v>
      </c>
      <c r="B229" s="21" t="s">
        <v>947</v>
      </c>
      <c r="C229" s="24" t="s">
        <v>1174</v>
      </c>
    </row>
    <row r="230" spans="1:3" x14ac:dyDescent="0.2">
      <c r="A230" s="13" t="s">
        <v>260</v>
      </c>
      <c r="B230" s="21" t="s">
        <v>947</v>
      </c>
      <c r="C230" s="24" t="s">
        <v>1175</v>
      </c>
    </row>
    <row r="231" spans="1:3" x14ac:dyDescent="0.2">
      <c r="A231" s="13" t="s">
        <v>261</v>
      </c>
      <c r="B231" s="21" t="s">
        <v>947</v>
      </c>
      <c r="C231" s="24" t="s">
        <v>1176</v>
      </c>
    </row>
    <row r="232" spans="1:3" x14ac:dyDescent="0.2">
      <c r="A232" s="13" t="s">
        <v>262</v>
      </c>
      <c r="B232" s="21" t="s">
        <v>947</v>
      </c>
      <c r="C232" s="24" t="s">
        <v>1177</v>
      </c>
    </row>
    <row r="233" spans="1:3" x14ac:dyDescent="0.2">
      <c r="A233" s="13" t="s">
        <v>263</v>
      </c>
      <c r="B233" s="21" t="s">
        <v>947</v>
      </c>
      <c r="C233" s="24" t="s">
        <v>1178</v>
      </c>
    </row>
    <row r="234" spans="1:3" x14ac:dyDescent="0.2">
      <c r="A234" s="13" t="s">
        <v>1179</v>
      </c>
      <c r="B234" s="21" t="s">
        <v>947</v>
      </c>
      <c r="C234" s="24" t="s">
        <v>1180</v>
      </c>
    </row>
    <row r="235" spans="1:3" x14ac:dyDescent="0.2">
      <c r="A235" s="13" t="s">
        <v>278</v>
      </c>
      <c r="B235" s="21" t="s">
        <v>1908</v>
      </c>
      <c r="C235" s="24" t="s">
        <v>48</v>
      </c>
    </row>
    <row r="236" spans="1:3" x14ac:dyDescent="0.2">
      <c r="A236" s="13" t="s">
        <v>280</v>
      </c>
      <c r="B236" s="21" t="s">
        <v>1908</v>
      </c>
      <c r="C236" s="24" t="s">
        <v>51</v>
      </c>
    </row>
    <row r="237" spans="1:3" x14ac:dyDescent="0.2">
      <c r="A237" s="13" t="s">
        <v>652</v>
      </c>
      <c r="B237" s="21" t="s">
        <v>1011</v>
      </c>
      <c r="C237" s="24" t="s">
        <v>1181</v>
      </c>
    </row>
    <row r="238" spans="1:3" x14ac:dyDescent="0.2">
      <c r="A238" s="13" t="s">
        <v>285</v>
      </c>
      <c r="B238" s="21" t="s">
        <v>1908</v>
      </c>
      <c r="C238" s="24" t="s">
        <v>56</v>
      </c>
    </row>
    <row r="239" spans="1:3" x14ac:dyDescent="0.2">
      <c r="A239" s="13" t="s">
        <v>293</v>
      </c>
      <c r="B239" s="21" t="s">
        <v>1015</v>
      </c>
      <c r="C239" s="24" t="s">
        <v>1182</v>
      </c>
    </row>
    <row r="240" spans="1:3" x14ac:dyDescent="0.2">
      <c r="A240" s="13" t="s">
        <v>350</v>
      </c>
      <c r="B240" s="21" t="s">
        <v>1009</v>
      </c>
      <c r="C240" s="24" t="s">
        <v>1183</v>
      </c>
    </row>
    <row r="241" spans="1:3" x14ac:dyDescent="0.2">
      <c r="A241" s="13" t="s">
        <v>386</v>
      </c>
      <c r="B241" s="21" t="s">
        <v>1009</v>
      </c>
      <c r="C241" s="24" t="s">
        <v>235</v>
      </c>
    </row>
    <row r="242" spans="1:3" x14ac:dyDescent="0.2">
      <c r="A242" s="13" t="s">
        <v>414</v>
      </c>
      <c r="B242" s="21" t="s">
        <v>1184</v>
      </c>
      <c r="C242" s="24" t="s">
        <v>46</v>
      </c>
    </row>
    <row r="243" spans="1:3" x14ac:dyDescent="0.2">
      <c r="A243" s="13" t="s">
        <v>556</v>
      </c>
      <c r="B243" s="21" t="s">
        <v>1185</v>
      </c>
      <c r="C243" s="24" t="s">
        <v>1186</v>
      </c>
    </row>
    <row r="244" spans="1:3" x14ac:dyDescent="0.2">
      <c r="A244" s="13" t="s">
        <v>557</v>
      </c>
      <c r="B244" s="21" t="s">
        <v>1185</v>
      </c>
      <c r="C244" s="24" t="s">
        <v>1182</v>
      </c>
    </row>
    <row r="245" spans="1:3" x14ac:dyDescent="0.2">
      <c r="A245" s="13" t="s">
        <v>340</v>
      </c>
      <c r="B245" s="28" t="s">
        <v>1116</v>
      </c>
      <c r="C245" s="24" t="s">
        <v>48</v>
      </c>
    </row>
    <row r="246" spans="1:3" x14ac:dyDescent="0.2">
      <c r="A246" s="13" t="s">
        <v>415</v>
      </c>
      <c r="B246" s="21" t="s">
        <v>1184</v>
      </c>
      <c r="C246" s="24" t="s">
        <v>66</v>
      </c>
    </row>
    <row r="247" spans="1:3" x14ac:dyDescent="0.2">
      <c r="A247" s="13" t="s">
        <v>123</v>
      </c>
      <c r="B247" s="21" t="s">
        <v>970</v>
      </c>
      <c r="C247" s="24" t="s">
        <v>1187</v>
      </c>
    </row>
    <row r="248" spans="1:3" x14ac:dyDescent="0.2">
      <c r="A248" s="13" t="s">
        <v>1188</v>
      </c>
      <c r="B248" s="21" t="s">
        <v>1017</v>
      </c>
      <c r="C248" s="24" t="s">
        <v>1189</v>
      </c>
    </row>
    <row r="249" spans="1:3" x14ac:dyDescent="0.2">
      <c r="A249" s="13" t="s">
        <v>109</v>
      </c>
      <c r="B249" s="21" t="s">
        <v>970</v>
      </c>
      <c r="C249" s="24" t="s">
        <v>1190</v>
      </c>
    </row>
    <row r="250" spans="1:3" x14ac:dyDescent="0.2">
      <c r="A250" s="13" t="s">
        <v>110</v>
      </c>
      <c r="B250" s="21" t="s">
        <v>970</v>
      </c>
      <c r="C250" s="24" t="s">
        <v>1191</v>
      </c>
    </row>
    <row r="251" spans="1:3" x14ac:dyDescent="0.2">
      <c r="A251" s="13" t="s">
        <v>116</v>
      </c>
      <c r="B251" s="21" t="s">
        <v>970</v>
      </c>
      <c r="C251" s="24" t="s">
        <v>1192</v>
      </c>
    </row>
    <row r="252" spans="1:3" x14ac:dyDescent="0.2">
      <c r="A252" s="13" t="s">
        <v>124</v>
      </c>
      <c r="B252" s="21" t="s">
        <v>970</v>
      </c>
      <c r="C252" s="24" t="s">
        <v>1193</v>
      </c>
    </row>
    <row r="253" spans="1:3" x14ac:dyDescent="0.2">
      <c r="A253" s="13" t="s">
        <v>125</v>
      </c>
      <c r="B253" s="21" t="s">
        <v>970</v>
      </c>
      <c r="C253" s="24" t="s">
        <v>1194</v>
      </c>
    </row>
    <row r="254" spans="1:3" x14ac:dyDescent="0.2">
      <c r="A254" s="13" t="s">
        <v>129</v>
      </c>
      <c r="B254" s="21" t="s">
        <v>970</v>
      </c>
      <c r="C254" s="24" t="s">
        <v>1195</v>
      </c>
    </row>
    <row r="255" spans="1:3" x14ac:dyDescent="0.2">
      <c r="A255" s="13" t="s">
        <v>707</v>
      </c>
      <c r="B255" s="21" t="s">
        <v>1141</v>
      </c>
      <c r="C255" s="24" t="s">
        <v>767</v>
      </c>
    </row>
    <row r="256" spans="1:3" x14ac:dyDescent="0.2">
      <c r="A256" s="13" t="s">
        <v>706</v>
      </c>
      <c r="B256" s="21" t="s">
        <v>932</v>
      </c>
      <c r="C256" s="24" t="s">
        <v>662</v>
      </c>
    </row>
    <row r="257" spans="1:3" x14ac:dyDescent="0.2">
      <c r="A257" s="13" t="s">
        <v>136</v>
      </c>
      <c r="B257" s="21" t="s">
        <v>970</v>
      </c>
      <c r="C257" s="24" t="s">
        <v>1196</v>
      </c>
    </row>
    <row r="258" spans="1:3" x14ac:dyDescent="0.2">
      <c r="A258" s="13" t="s">
        <v>335</v>
      </c>
      <c r="B258" s="21" t="s">
        <v>1006</v>
      </c>
      <c r="C258" s="24" t="s">
        <v>334</v>
      </c>
    </row>
    <row r="259" spans="1:3" x14ac:dyDescent="0.2">
      <c r="A259" s="13" t="s">
        <v>735</v>
      </c>
      <c r="B259" s="21" t="s">
        <v>1147</v>
      </c>
      <c r="C259" s="24" t="s">
        <v>1197</v>
      </c>
    </row>
    <row r="260" spans="1:3" x14ac:dyDescent="0.2">
      <c r="A260" s="13" t="s">
        <v>338</v>
      </c>
      <c r="B260" s="21" t="s">
        <v>1057</v>
      </c>
      <c r="C260" s="24" t="s">
        <v>229</v>
      </c>
    </row>
    <row r="261" spans="1:3" x14ac:dyDescent="0.2">
      <c r="A261" s="13" t="s">
        <v>434</v>
      </c>
      <c r="B261" s="21" t="s">
        <v>1075</v>
      </c>
      <c r="C261" s="24" t="s">
        <v>435</v>
      </c>
    </row>
    <row r="262" spans="1:3" x14ac:dyDescent="0.2">
      <c r="A262" s="13" t="s">
        <v>437</v>
      </c>
      <c r="B262" s="21" t="s">
        <v>1075</v>
      </c>
      <c r="C262" s="24" t="s">
        <v>438</v>
      </c>
    </row>
    <row r="263" spans="1:3" x14ac:dyDescent="0.2">
      <c r="A263" s="13" t="s">
        <v>440</v>
      </c>
      <c r="B263" s="21" t="s">
        <v>1075</v>
      </c>
      <c r="C263" s="24" t="s">
        <v>441</v>
      </c>
    </row>
    <row r="264" spans="1:3" x14ac:dyDescent="0.2">
      <c r="A264" s="13" t="s">
        <v>463</v>
      </c>
      <c r="B264" s="21" t="s">
        <v>1091</v>
      </c>
      <c r="C264" s="24" t="s">
        <v>1198</v>
      </c>
    </row>
    <row r="265" spans="1:3" x14ac:dyDescent="0.2">
      <c r="A265" s="13" t="s">
        <v>185</v>
      </c>
      <c r="B265" s="21" t="s">
        <v>1075</v>
      </c>
      <c r="C265" s="24" t="s">
        <v>186</v>
      </c>
    </row>
    <row r="266" spans="1:3" x14ac:dyDescent="0.2">
      <c r="A266" s="13" t="s">
        <v>189</v>
      </c>
      <c r="B266" s="21" t="s">
        <v>1075</v>
      </c>
      <c r="C266" s="24" t="s">
        <v>190</v>
      </c>
    </row>
    <row r="267" spans="1:3" x14ac:dyDescent="0.2">
      <c r="A267" s="13" t="s">
        <v>458</v>
      </c>
      <c r="B267" s="21" t="s">
        <v>932</v>
      </c>
      <c r="C267" s="24" t="s">
        <v>459</v>
      </c>
    </row>
    <row r="268" spans="1:3" x14ac:dyDescent="0.2">
      <c r="A268" s="13" t="s">
        <v>198</v>
      </c>
      <c r="B268" s="21" t="s">
        <v>1185</v>
      </c>
      <c r="C268" s="24" t="s">
        <v>1199</v>
      </c>
    </row>
    <row r="269" spans="1:3" x14ac:dyDescent="0.2">
      <c r="A269" s="13" t="s">
        <v>649</v>
      </c>
      <c r="B269" s="21" t="s">
        <v>932</v>
      </c>
      <c r="C269" s="24" t="s">
        <v>650</v>
      </c>
    </row>
    <row r="270" spans="1:3" x14ac:dyDescent="0.2">
      <c r="A270" s="13" t="s">
        <v>265</v>
      </c>
      <c r="B270" s="21" t="s">
        <v>947</v>
      </c>
      <c r="C270" s="24" t="s">
        <v>1200</v>
      </c>
    </row>
    <row r="271" spans="1:3" x14ac:dyDescent="0.2">
      <c r="A271" s="13" t="s">
        <v>271</v>
      </c>
      <c r="B271" s="21" t="s">
        <v>947</v>
      </c>
      <c r="C271" s="24" t="s">
        <v>1201</v>
      </c>
    </row>
    <row r="272" spans="1:3" x14ac:dyDescent="0.2">
      <c r="A272" s="13" t="s">
        <v>634</v>
      </c>
      <c r="B272" s="21" t="s">
        <v>1079</v>
      </c>
      <c r="C272" s="24" t="s">
        <v>1202</v>
      </c>
    </row>
    <row r="273" spans="1:3" x14ac:dyDescent="0.2">
      <c r="A273" s="13" t="s">
        <v>637</v>
      </c>
      <c r="B273" s="21" t="s">
        <v>1079</v>
      </c>
      <c r="C273" s="24" t="s">
        <v>1203</v>
      </c>
    </row>
    <row r="274" spans="1:3" x14ac:dyDescent="0.2">
      <c r="A274" s="13" t="s">
        <v>639</v>
      </c>
      <c r="B274" s="21" t="s">
        <v>1079</v>
      </c>
      <c r="C274" s="24" t="s">
        <v>1204</v>
      </c>
    </row>
    <row r="275" spans="1:3" x14ac:dyDescent="0.2">
      <c r="A275" s="13" t="s">
        <v>663</v>
      </c>
      <c r="B275" s="21" t="s">
        <v>1009</v>
      </c>
      <c r="C275" s="24" t="s">
        <v>1205</v>
      </c>
    </row>
    <row r="276" spans="1:3" x14ac:dyDescent="0.2">
      <c r="A276" s="13" t="s">
        <v>665</v>
      </c>
      <c r="B276" s="21" t="s">
        <v>1009</v>
      </c>
      <c r="C276" s="24" t="s">
        <v>1206</v>
      </c>
    </row>
    <row r="277" spans="1:3" x14ac:dyDescent="0.2">
      <c r="A277" s="13" t="s">
        <v>667</v>
      </c>
      <c r="B277" s="21" t="s">
        <v>1009</v>
      </c>
      <c r="C277" s="24" t="s">
        <v>1207</v>
      </c>
    </row>
    <row r="278" spans="1:3" x14ac:dyDescent="0.2">
      <c r="A278" s="13" t="s">
        <v>295</v>
      </c>
      <c r="B278" s="21" t="s">
        <v>1015</v>
      </c>
      <c r="C278" s="24" t="s">
        <v>1208</v>
      </c>
    </row>
    <row r="279" spans="1:3" x14ac:dyDescent="0.2">
      <c r="A279" s="13" t="s">
        <v>628</v>
      </c>
      <c r="B279" s="21" t="s">
        <v>1015</v>
      </c>
      <c r="C279" s="24" t="s">
        <v>1209</v>
      </c>
    </row>
    <row r="280" spans="1:3" x14ac:dyDescent="0.2">
      <c r="A280" s="13" t="s">
        <v>670</v>
      </c>
      <c r="B280" s="21" t="s">
        <v>1141</v>
      </c>
      <c r="C280" s="24" t="s">
        <v>369</v>
      </c>
    </row>
    <row r="281" spans="1:3" x14ac:dyDescent="0.2">
      <c r="A281" s="13" t="s">
        <v>669</v>
      </c>
      <c r="B281" s="21" t="s">
        <v>1141</v>
      </c>
      <c r="C281" s="24" t="s">
        <v>1210</v>
      </c>
    </row>
    <row r="282" spans="1:3" x14ac:dyDescent="0.2">
      <c r="A282" s="13" t="s">
        <v>620</v>
      </c>
      <c r="B282" s="21" t="s">
        <v>1009</v>
      </c>
      <c r="C282" s="24" t="s">
        <v>1211</v>
      </c>
    </row>
    <row r="283" spans="1:3" x14ac:dyDescent="0.2">
      <c r="A283" s="13" t="s">
        <v>392</v>
      </c>
      <c r="B283" s="21" t="s">
        <v>947</v>
      </c>
      <c r="C283" s="24" t="s">
        <v>1212</v>
      </c>
    </row>
    <row r="284" spans="1:3" x14ac:dyDescent="0.2">
      <c r="A284" s="13" t="s">
        <v>1213</v>
      </c>
      <c r="B284" s="21" t="s">
        <v>947</v>
      </c>
      <c r="C284" s="24" t="s">
        <v>1214</v>
      </c>
    </row>
    <row r="285" spans="1:3" x14ac:dyDescent="0.2">
      <c r="A285" s="13" t="s">
        <v>661</v>
      </c>
      <c r="B285" s="21" t="s">
        <v>932</v>
      </c>
      <c r="C285" s="24" t="s">
        <v>662</v>
      </c>
    </row>
    <row r="286" spans="1:3" x14ac:dyDescent="0.2">
      <c r="A286" s="13" t="s">
        <v>643</v>
      </c>
      <c r="B286" s="21" t="s">
        <v>1009</v>
      </c>
      <c r="C286" s="24" t="s">
        <v>1215</v>
      </c>
    </row>
    <row r="287" spans="1:3" x14ac:dyDescent="0.2">
      <c r="A287" s="13" t="s">
        <v>644</v>
      </c>
      <c r="B287" s="21" t="s">
        <v>1009</v>
      </c>
      <c r="C287" s="24" t="s">
        <v>1216</v>
      </c>
    </row>
    <row r="288" spans="1:3" x14ac:dyDescent="0.2">
      <c r="A288" s="13" t="s">
        <v>733</v>
      </c>
      <c r="B288" s="21" t="s">
        <v>1079</v>
      </c>
      <c r="C288" s="24" t="s">
        <v>1217</v>
      </c>
    </row>
    <row r="289" spans="1:3" x14ac:dyDescent="0.2">
      <c r="A289" s="13" t="s">
        <v>739</v>
      </c>
      <c r="B289" s="21" t="s">
        <v>1147</v>
      </c>
      <c r="C289" s="24" t="s">
        <v>1218</v>
      </c>
    </row>
    <row r="290" spans="1:3" x14ac:dyDescent="0.2">
      <c r="A290" s="13" t="s">
        <v>59</v>
      </c>
      <c r="B290" s="21" t="s">
        <v>1005</v>
      </c>
      <c r="C290" s="24" t="s">
        <v>26</v>
      </c>
    </row>
    <row r="291" spans="1:3" x14ac:dyDescent="0.2">
      <c r="A291" s="13" t="s">
        <v>736</v>
      </c>
      <c r="B291" s="21" t="s">
        <v>1147</v>
      </c>
      <c r="C291" s="24" t="s">
        <v>1219</v>
      </c>
    </row>
    <row r="292" spans="1:3" x14ac:dyDescent="0.2">
      <c r="A292" s="13" t="s">
        <v>75</v>
      </c>
      <c r="B292" s="21" t="s">
        <v>947</v>
      </c>
      <c r="C292" s="24" t="s">
        <v>1220</v>
      </c>
    </row>
    <row r="293" spans="1:3" x14ac:dyDescent="0.2">
      <c r="A293" s="13" t="s">
        <v>78</v>
      </c>
      <c r="B293" s="21" t="s">
        <v>947</v>
      </c>
      <c r="C293" s="24" t="s">
        <v>1221</v>
      </c>
    </row>
    <row r="294" spans="1:3" x14ac:dyDescent="0.2">
      <c r="A294" s="13" t="s">
        <v>79</v>
      </c>
      <c r="B294" s="21" t="s">
        <v>947</v>
      </c>
      <c r="C294" s="24" t="s">
        <v>1222</v>
      </c>
    </row>
    <row r="295" spans="1:3" x14ac:dyDescent="0.2">
      <c r="A295" s="13" t="s">
        <v>1223</v>
      </c>
      <c r="B295" s="21" t="s">
        <v>1147</v>
      </c>
      <c r="C295" s="24" t="s">
        <v>1224</v>
      </c>
    </row>
    <row r="296" spans="1:3" x14ac:dyDescent="0.2">
      <c r="A296" s="13" t="s">
        <v>89</v>
      </c>
      <c r="B296" s="21" t="s">
        <v>947</v>
      </c>
      <c r="C296" s="24" t="s">
        <v>1225</v>
      </c>
    </row>
    <row r="297" spans="1:3" x14ac:dyDescent="0.2">
      <c r="A297" s="13" t="s">
        <v>92</v>
      </c>
      <c r="B297" s="21" t="s">
        <v>947</v>
      </c>
      <c r="C297" s="24" t="s">
        <v>202</v>
      </c>
    </row>
    <row r="298" spans="1:3" x14ac:dyDescent="0.2">
      <c r="A298" s="13" t="s">
        <v>145</v>
      </c>
      <c r="B298" s="21" t="s">
        <v>1091</v>
      </c>
      <c r="C298" s="24" t="s">
        <v>146</v>
      </c>
    </row>
    <row r="299" spans="1:3" x14ac:dyDescent="0.2">
      <c r="A299" s="13" t="s">
        <v>147</v>
      </c>
      <c r="B299" s="21" t="s">
        <v>1091</v>
      </c>
      <c r="C299" s="24" t="s">
        <v>148</v>
      </c>
    </row>
    <row r="300" spans="1:3" x14ac:dyDescent="0.2">
      <c r="A300" s="13" t="s">
        <v>149</v>
      </c>
      <c r="B300" s="21" t="s">
        <v>1091</v>
      </c>
      <c r="C300" s="24" t="s">
        <v>150</v>
      </c>
    </row>
    <row r="301" spans="1:3" x14ac:dyDescent="0.2">
      <c r="A301" s="13" t="s">
        <v>194</v>
      </c>
      <c r="B301" s="21" t="s">
        <v>947</v>
      </c>
      <c r="C301" s="24" t="s">
        <v>1226</v>
      </c>
    </row>
    <row r="302" spans="1:3" x14ac:dyDescent="0.2">
      <c r="A302" s="13" t="s">
        <v>195</v>
      </c>
      <c r="B302" s="21" t="s">
        <v>947</v>
      </c>
      <c r="C302" s="24" t="s">
        <v>1227</v>
      </c>
    </row>
    <row r="303" spans="1:3" x14ac:dyDescent="0.2">
      <c r="A303" s="13" t="s">
        <v>1228</v>
      </c>
      <c r="B303" s="21" t="s">
        <v>947</v>
      </c>
      <c r="C303" s="24" t="s">
        <v>1229</v>
      </c>
    </row>
    <row r="304" spans="1:3" x14ac:dyDescent="0.2">
      <c r="A304" s="13" t="s">
        <v>1230</v>
      </c>
      <c r="B304" s="21" t="s">
        <v>947</v>
      </c>
      <c r="C304" s="24" t="s">
        <v>1231</v>
      </c>
    </row>
    <row r="305" spans="1:3" x14ac:dyDescent="0.2">
      <c r="A305" s="13" t="s">
        <v>200</v>
      </c>
      <c r="B305" s="21" t="s">
        <v>1091</v>
      </c>
      <c r="C305" s="24" t="s">
        <v>72</v>
      </c>
    </row>
    <row r="306" spans="1:3" x14ac:dyDescent="0.2">
      <c r="A306" s="13" t="s">
        <v>203</v>
      </c>
      <c r="B306" s="21" t="s">
        <v>947</v>
      </c>
      <c r="C306" s="24" t="s">
        <v>1232</v>
      </c>
    </row>
    <row r="307" spans="1:3" x14ac:dyDescent="0.2">
      <c r="A307" s="13" t="s">
        <v>204</v>
      </c>
      <c r="B307" s="21" t="s">
        <v>947</v>
      </c>
      <c r="C307" s="24" t="s">
        <v>1233</v>
      </c>
    </row>
    <row r="308" spans="1:3" x14ac:dyDescent="0.2">
      <c r="A308" s="13" t="s">
        <v>211</v>
      </c>
      <c r="B308" s="21" t="s">
        <v>947</v>
      </c>
      <c r="C308" s="24" t="s">
        <v>210</v>
      </c>
    </row>
    <row r="309" spans="1:3" x14ac:dyDescent="0.2">
      <c r="A309" s="13" t="s">
        <v>212</v>
      </c>
      <c r="B309" s="21" t="s">
        <v>947</v>
      </c>
      <c r="C309" s="24" t="s">
        <v>1234</v>
      </c>
    </row>
    <row r="310" spans="1:3" x14ac:dyDescent="0.2">
      <c r="A310" s="13" t="s">
        <v>213</v>
      </c>
      <c r="B310" s="21" t="s">
        <v>947</v>
      </c>
      <c r="C310" s="24" t="s">
        <v>1235</v>
      </c>
    </row>
    <row r="311" spans="1:3" x14ac:dyDescent="0.2">
      <c r="A311" s="13" t="s">
        <v>214</v>
      </c>
      <c r="B311" s="21" t="s">
        <v>947</v>
      </c>
      <c r="C311" s="24" t="s">
        <v>1236</v>
      </c>
    </row>
    <row r="312" spans="1:3" x14ac:dyDescent="0.2">
      <c r="A312" s="13" t="s">
        <v>1237</v>
      </c>
      <c r="B312" s="21" t="s">
        <v>947</v>
      </c>
      <c r="C312" s="24" t="s">
        <v>1238</v>
      </c>
    </row>
    <row r="313" spans="1:3" x14ac:dyDescent="0.2">
      <c r="A313" s="13" t="s">
        <v>224</v>
      </c>
      <c r="B313" s="21" t="s">
        <v>947</v>
      </c>
      <c r="C313" s="24" t="s">
        <v>225</v>
      </c>
    </row>
    <row r="314" spans="1:3" x14ac:dyDescent="0.2">
      <c r="A314" s="13" t="s">
        <v>1239</v>
      </c>
      <c r="B314" s="21" t="s">
        <v>947</v>
      </c>
      <c r="C314" s="24" t="s">
        <v>1240</v>
      </c>
    </row>
    <row r="315" spans="1:3" x14ac:dyDescent="0.2">
      <c r="A315" s="13" t="s">
        <v>226</v>
      </c>
      <c r="B315" s="21" t="s">
        <v>947</v>
      </c>
      <c r="C315" s="24" t="s">
        <v>1241</v>
      </c>
    </row>
    <row r="316" spans="1:3" x14ac:dyDescent="0.2">
      <c r="A316" s="13" t="s">
        <v>316</v>
      </c>
      <c r="B316" s="21" t="s">
        <v>932</v>
      </c>
      <c r="C316" s="24" t="s">
        <v>1242</v>
      </c>
    </row>
    <row r="317" spans="1:3" x14ac:dyDescent="0.2">
      <c r="A317" s="13" t="s">
        <v>318</v>
      </c>
      <c r="B317" s="21" t="s">
        <v>1091</v>
      </c>
      <c r="C317" s="24" t="s">
        <v>311</v>
      </c>
    </row>
    <row r="318" spans="1:3" x14ac:dyDescent="0.2">
      <c r="A318" s="13" t="s">
        <v>1243</v>
      </c>
      <c r="B318" s="21" t="s">
        <v>947</v>
      </c>
      <c r="C318" s="24" t="s">
        <v>1244</v>
      </c>
    </row>
    <row r="319" spans="1:3" x14ac:dyDescent="0.2">
      <c r="A319" s="13" t="s">
        <v>1245</v>
      </c>
      <c r="B319" s="21" t="s">
        <v>947</v>
      </c>
      <c r="C319" s="24" t="s">
        <v>210</v>
      </c>
    </row>
    <row r="320" spans="1:3" x14ac:dyDescent="0.2">
      <c r="A320" s="13" t="s">
        <v>337</v>
      </c>
      <c r="B320" s="21" t="s">
        <v>947</v>
      </c>
      <c r="C320" s="24" t="s">
        <v>1246</v>
      </c>
    </row>
    <row r="321" spans="1:3" x14ac:dyDescent="0.2">
      <c r="A321" s="13" t="s">
        <v>342</v>
      </c>
      <c r="B321" s="21" t="s">
        <v>1091</v>
      </c>
      <c r="C321" s="24" t="s">
        <v>343</v>
      </c>
    </row>
    <row r="322" spans="1:3" x14ac:dyDescent="0.2">
      <c r="A322" s="13" t="s">
        <v>364</v>
      </c>
      <c r="B322" s="21" t="s">
        <v>947</v>
      </c>
      <c r="C322" s="24" t="s">
        <v>365</v>
      </c>
    </row>
    <row r="323" spans="1:3" x14ac:dyDescent="0.2">
      <c r="A323" s="13" t="s">
        <v>1247</v>
      </c>
      <c r="B323" s="21" t="s">
        <v>947</v>
      </c>
      <c r="C323" s="24" t="s">
        <v>1248</v>
      </c>
    </row>
    <row r="324" spans="1:3" x14ac:dyDescent="0.2">
      <c r="A324" s="13" t="s">
        <v>1249</v>
      </c>
      <c r="B324" s="21" t="s">
        <v>947</v>
      </c>
      <c r="C324" s="24" t="s">
        <v>1250</v>
      </c>
    </row>
    <row r="325" spans="1:3" x14ac:dyDescent="0.2">
      <c r="A325" s="13" t="s">
        <v>1251</v>
      </c>
      <c r="B325" s="21" t="s">
        <v>947</v>
      </c>
      <c r="C325" s="24" t="s">
        <v>1252</v>
      </c>
    </row>
    <row r="326" spans="1:3" x14ac:dyDescent="0.2">
      <c r="A326" s="13" t="s">
        <v>1253</v>
      </c>
      <c r="B326" s="21" t="s">
        <v>947</v>
      </c>
      <c r="C326" s="24" t="s">
        <v>87</v>
      </c>
    </row>
    <row r="327" spans="1:3" x14ac:dyDescent="0.2">
      <c r="A327" s="13" t="s">
        <v>1254</v>
      </c>
      <c r="B327" s="21" t="s">
        <v>947</v>
      </c>
      <c r="C327" s="24" t="s">
        <v>1255</v>
      </c>
    </row>
    <row r="328" spans="1:3" x14ac:dyDescent="0.2">
      <c r="A328" s="13" t="s">
        <v>1256</v>
      </c>
      <c r="B328" s="21" t="s">
        <v>947</v>
      </c>
      <c r="C328" s="24" t="s">
        <v>1257</v>
      </c>
    </row>
    <row r="329" spans="1:3" x14ac:dyDescent="0.2">
      <c r="A329" s="13" t="s">
        <v>1258</v>
      </c>
      <c r="B329" s="21" t="s">
        <v>947</v>
      </c>
      <c r="C329" s="24" t="s">
        <v>1259</v>
      </c>
    </row>
    <row r="330" spans="1:3" x14ac:dyDescent="0.2">
      <c r="A330" s="13" t="s">
        <v>1260</v>
      </c>
      <c r="B330" s="21" t="s">
        <v>947</v>
      </c>
      <c r="C330" s="24" t="s">
        <v>1261</v>
      </c>
    </row>
    <row r="331" spans="1:3" x14ac:dyDescent="0.2">
      <c r="A331" s="13" t="s">
        <v>1262</v>
      </c>
      <c r="B331" s="21" t="s">
        <v>947</v>
      </c>
      <c r="C331" s="24" t="s">
        <v>1263</v>
      </c>
    </row>
    <row r="332" spans="1:3" x14ac:dyDescent="0.2">
      <c r="A332" s="13" t="s">
        <v>1264</v>
      </c>
      <c r="B332" s="21" t="s">
        <v>947</v>
      </c>
      <c r="C332" s="24" t="s">
        <v>210</v>
      </c>
    </row>
    <row r="333" spans="1:3" x14ac:dyDescent="0.2">
      <c r="A333" s="13" t="s">
        <v>1265</v>
      </c>
      <c r="B333" s="21" t="s">
        <v>947</v>
      </c>
      <c r="C333" s="24" t="s">
        <v>1266</v>
      </c>
    </row>
    <row r="334" spans="1:3" x14ac:dyDescent="0.2">
      <c r="A334" s="13" t="s">
        <v>388</v>
      </c>
      <c r="B334" s="21" t="s">
        <v>932</v>
      </c>
      <c r="C334" s="24" t="s">
        <v>1267</v>
      </c>
    </row>
    <row r="335" spans="1:3" x14ac:dyDescent="0.2">
      <c r="A335" s="13" t="s">
        <v>453</v>
      </c>
      <c r="B335" s="21" t="s">
        <v>1009</v>
      </c>
      <c r="C335" s="24" t="s">
        <v>1268</v>
      </c>
    </row>
    <row r="336" spans="1:3" x14ac:dyDescent="0.2">
      <c r="A336" s="13" t="s">
        <v>467</v>
      </c>
      <c r="B336" s="21" t="s">
        <v>932</v>
      </c>
      <c r="C336" s="24" t="s">
        <v>1269</v>
      </c>
    </row>
    <row r="337" spans="1:3" x14ac:dyDescent="0.2">
      <c r="A337" s="13" t="s">
        <v>469</v>
      </c>
      <c r="B337" s="21" t="s">
        <v>932</v>
      </c>
      <c r="C337" s="24" t="s">
        <v>1270</v>
      </c>
    </row>
    <row r="338" spans="1:3" x14ac:dyDescent="0.2">
      <c r="A338" s="13" t="s">
        <v>471</v>
      </c>
      <c r="B338" s="21" t="s">
        <v>932</v>
      </c>
      <c r="C338" s="24" t="s">
        <v>1271</v>
      </c>
    </row>
    <row r="339" spans="1:3" x14ac:dyDescent="0.2">
      <c r="A339" s="13" t="s">
        <v>168</v>
      </c>
      <c r="B339" s="21" t="s">
        <v>970</v>
      </c>
      <c r="C339" s="24" t="s">
        <v>1272</v>
      </c>
    </row>
    <row r="340" spans="1:3" x14ac:dyDescent="0.2">
      <c r="A340" s="13" t="s">
        <v>169</v>
      </c>
      <c r="B340" s="21" t="s">
        <v>970</v>
      </c>
      <c r="C340" s="24" t="s">
        <v>1273</v>
      </c>
    </row>
    <row r="341" spans="1:3" x14ac:dyDescent="0.2">
      <c r="A341" s="13" t="s">
        <v>180</v>
      </c>
      <c r="B341" s="21" t="s">
        <v>970</v>
      </c>
      <c r="C341" s="24" t="s">
        <v>1274</v>
      </c>
    </row>
    <row r="342" spans="1:3" x14ac:dyDescent="0.2">
      <c r="A342" s="13" t="s">
        <v>179</v>
      </c>
      <c r="B342" s="21" t="s">
        <v>970</v>
      </c>
      <c r="C342" s="24" t="s">
        <v>1275</v>
      </c>
    </row>
    <row r="343" spans="1:3" x14ac:dyDescent="0.2">
      <c r="A343" s="13" t="s">
        <v>201</v>
      </c>
      <c r="B343" s="21" t="s">
        <v>947</v>
      </c>
      <c r="C343" s="24" t="s">
        <v>202</v>
      </c>
    </row>
    <row r="344" spans="1:3" x14ac:dyDescent="0.2">
      <c r="A344" s="13" t="s">
        <v>161</v>
      </c>
      <c r="B344" s="21" t="s">
        <v>970</v>
      </c>
      <c r="C344" s="24" t="s">
        <v>1276</v>
      </c>
    </row>
    <row r="345" spans="1:3" x14ac:dyDescent="0.2">
      <c r="A345" s="13" t="s">
        <v>1277</v>
      </c>
      <c r="B345" s="21" t="s">
        <v>947</v>
      </c>
      <c r="C345" s="24" t="s">
        <v>1278</v>
      </c>
    </row>
    <row r="346" spans="1:3" x14ac:dyDescent="0.2">
      <c r="A346" s="13" t="s">
        <v>312</v>
      </c>
      <c r="B346" s="21" t="s">
        <v>932</v>
      </c>
      <c r="C346" s="24" t="s">
        <v>1279</v>
      </c>
    </row>
    <row r="347" spans="1:3" x14ac:dyDescent="0.2">
      <c r="A347" s="13" t="s">
        <v>621</v>
      </c>
      <c r="B347" s="21" t="s">
        <v>1075</v>
      </c>
      <c r="C347" s="24" t="s">
        <v>1280</v>
      </c>
    </row>
    <row r="348" spans="1:3" x14ac:dyDescent="0.2">
      <c r="A348" s="13" t="s">
        <v>88</v>
      </c>
      <c r="B348" s="21" t="s">
        <v>947</v>
      </c>
      <c r="C348" s="24" t="s">
        <v>1281</v>
      </c>
    </row>
    <row r="349" spans="1:3" x14ac:dyDescent="0.2">
      <c r="A349" s="13" t="s">
        <v>697</v>
      </c>
      <c r="B349" s="21" t="s">
        <v>947</v>
      </c>
      <c r="C349" s="24" t="s">
        <v>1282</v>
      </c>
    </row>
    <row r="350" spans="1:3" x14ac:dyDescent="0.2">
      <c r="A350" s="13" t="s">
        <v>671</v>
      </c>
      <c r="B350" s="21" t="s">
        <v>1283</v>
      </c>
      <c r="C350" s="24" t="s">
        <v>1209</v>
      </c>
    </row>
    <row r="351" spans="1:3" x14ac:dyDescent="0.2">
      <c r="A351" s="13" t="s">
        <v>691</v>
      </c>
      <c r="B351" s="21" t="s">
        <v>947</v>
      </c>
      <c r="C351" s="24" t="s">
        <v>1284</v>
      </c>
    </row>
    <row r="352" spans="1:3" x14ac:dyDescent="0.2">
      <c r="A352" s="13" t="s">
        <v>1285</v>
      </c>
      <c r="B352" s="21" t="s">
        <v>1017</v>
      </c>
      <c r="C352" s="24" t="s">
        <v>1286</v>
      </c>
    </row>
    <row r="353" spans="1:3" x14ac:dyDescent="0.2">
      <c r="A353" s="13" t="s">
        <v>1287</v>
      </c>
      <c r="B353" s="21" t="s">
        <v>1017</v>
      </c>
      <c r="C353" s="24" t="s">
        <v>1288</v>
      </c>
    </row>
    <row r="354" spans="1:3" x14ac:dyDescent="0.2">
      <c r="A354" s="13" t="s">
        <v>645</v>
      </c>
      <c r="B354" s="21" t="s">
        <v>970</v>
      </c>
      <c r="C354" s="24" t="s">
        <v>1289</v>
      </c>
    </row>
    <row r="355" spans="1:3" x14ac:dyDescent="0.2">
      <c r="A355" s="13" t="s">
        <v>702</v>
      </c>
      <c r="B355" s="21" t="s">
        <v>932</v>
      </c>
      <c r="C355" s="24" t="s">
        <v>1290</v>
      </c>
    </row>
    <row r="356" spans="1:3" x14ac:dyDescent="0.2">
      <c r="A356" s="13" t="s">
        <v>460</v>
      </c>
      <c r="B356" s="21" t="s">
        <v>932</v>
      </c>
      <c r="C356" s="24" t="s">
        <v>1291</v>
      </c>
    </row>
    <row r="357" spans="1:3" x14ac:dyDescent="0.2">
      <c r="A357" s="13" t="s">
        <v>704</v>
      </c>
      <c r="B357" s="21" t="s">
        <v>932</v>
      </c>
      <c r="C357" s="24" t="s">
        <v>1292</v>
      </c>
    </row>
    <row r="358" spans="1:3" x14ac:dyDescent="0.2">
      <c r="A358" s="13" t="s">
        <v>695</v>
      </c>
      <c r="B358" s="21" t="s">
        <v>947</v>
      </c>
      <c r="C358" s="24" t="s">
        <v>1293</v>
      </c>
    </row>
    <row r="359" spans="1:3" x14ac:dyDescent="0.2">
      <c r="A359" s="13" t="s">
        <v>74</v>
      </c>
      <c r="B359" s="21" t="s">
        <v>947</v>
      </c>
      <c r="C359" s="24" t="s">
        <v>73</v>
      </c>
    </row>
    <row r="360" spans="1:3" x14ac:dyDescent="0.2">
      <c r="A360" s="13" t="s">
        <v>344</v>
      </c>
      <c r="B360" s="21" t="s">
        <v>1091</v>
      </c>
      <c r="C360" s="24" t="s">
        <v>343</v>
      </c>
    </row>
    <row r="361" spans="1:3" x14ac:dyDescent="0.2">
      <c r="A361" s="13" t="s">
        <v>464</v>
      </c>
      <c r="B361" s="21" t="s">
        <v>1091</v>
      </c>
      <c r="C361" s="24" t="s">
        <v>1198</v>
      </c>
    </row>
    <row r="362" spans="1:3" x14ac:dyDescent="0.2">
      <c r="A362" s="13" t="s">
        <v>319</v>
      </c>
      <c r="B362" s="21" t="s">
        <v>1091</v>
      </c>
      <c r="C362" s="24" t="s">
        <v>1294</v>
      </c>
    </row>
    <row r="363" spans="1:3" x14ac:dyDescent="0.2">
      <c r="A363" s="13" t="s">
        <v>764</v>
      </c>
      <c r="B363" s="21" t="s">
        <v>947</v>
      </c>
      <c r="C363" s="24" t="s">
        <v>1295</v>
      </c>
    </row>
    <row r="364" spans="1:3" x14ac:dyDescent="0.2">
      <c r="A364" s="13" t="s">
        <v>765</v>
      </c>
      <c r="B364" s="21" t="s">
        <v>947</v>
      </c>
      <c r="C364" s="24" t="s">
        <v>1296</v>
      </c>
    </row>
    <row r="365" spans="1:3" x14ac:dyDescent="0.2">
      <c r="A365" s="13" t="s">
        <v>151</v>
      </c>
      <c r="B365" s="21" t="s">
        <v>1091</v>
      </c>
      <c r="C365" s="24" t="s">
        <v>152</v>
      </c>
    </row>
    <row r="366" spans="1:3" x14ac:dyDescent="0.2">
      <c r="A366" s="13" t="s">
        <v>320</v>
      </c>
      <c r="B366" s="21" t="s">
        <v>1091</v>
      </c>
      <c r="C366" s="24" t="s">
        <v>321</v>
      </c>
    </row>
    <row r="367" spans="1:3" x14ac:dyDescent="0.2">
      <c r="A367" s="13" t="s">
        <v>383</v>
      </c>
      <c r="B367" s="21" t="s">
        <v>932</v>
      </c>
      <c r="C367" s="24" t="s">
        <v>1297</v>
      </c>
    </row>
    <row r="368" spans="1:3" x14ac:dyDescent="0.2">
      <c r="A368" s="13" t="s">
        <v>465</v>
      </c>
      <c r="B368" s="21" t="s">
        <v>932</v>
      </c>
      <c r="C368" s="24" t="s">
        <v>1298</v>
      </c>
    </row>
    <row r="369" spans="1:3" x14ac:dyDescent="0.2">
      <c r="A369" s="13" t="s">
        <v>153</v>
      </c>
      <c r="B369" s="21" t="s">
        <v>970</v>
      </c>
      <c r="C369" s="24" t="s">
        <v>1299</v>
      </c>
    </row>
    <row r="370" spans="1:3" x14ac:dyDescent="0.2">
      <c r="A370" s="13" t="s">
        <v>154</v>
      </c>
      <c r="B370" s="21" t="s">
        <v>970</v>
      </c>
      <c r="C370" s="24" t="s">
        <v>1300</v>
      </c>
    </row>
    <row r="371" spans="1:3" x14ac:dyDescent="0.2">
      <c r="A371" s="13" t="s">
        <v>693</v>
      </c>
      <c r="B371" s="21" t="s">
        <v>947</v>
      </c>
      <c r="C371" s="24" t="s">
        <v>1301</v>
      </c>
    </row>
    <row r="372" spans="1:3" x14ac:dyDescent="0.2">
      <c r="A372" s="13" t="s">
        <v>1302</v>
      </c>
      <c r="B372" s="21" t="s">
        <v>1017</v>
      </c>
      <c r="C372" s="24" t="s">
        <v>1303</v>
      </c>
    </row>
    <row r="373" spans="1:3" x14ac:dyDescent="0.2">
      <c r="A373" s="13" t="s">
        <v>174</v>
      </c>
      <c r="B373" s="21" t="s">
        <v>970</v>
      </c>
      <c r="C373" s="24" t="s">
        <v>1304</v>
      </c>
    </row>
    <row r="374" spans="1:3" x14ac:dyDescent="0.2">
      <c r="A374" s="13" t="s">
        <v>390</v>
      </c>
      <c r="B374" s="21" t="s">
        <v>1091</v>
      </c>
      <c r="C374" s="24" t="s">
        <v>321</v>
      </c>
    </row>
    <row r="375" spans="1:3" x14ac:dyDescent="0.2">
      <c r="A375" s="13" t="s">
        <v>376</v>
      </c>
      <c r="B375" s="21" t="s">
        <v>1075</v>
      </c>
      <c r="C375" s="24" t="s">
        <v>228</v>
      </c>
    </row>
    <row r="376" spans="1:3" x14ac:dyDescent="0.2">
      <c r="A376" s="13" t="s">
        <v>377</v>
      </c>
      <c r="B376" s="21" t="s">
        <v>1075</v>
      </c>
      <c r="C376" s="24" t="s">
        <v>1305</v>
      </c>
    </row>
    <row r="377" spans="1:3" x14ac:dyDescent="0.2">
      <c r="A377" s="13" t="s">
        <v>685</v>
      </c>
      <c r="B377" s="21" t="s">
        <v>970</v>
      </c>
      <c r="C377" s="24" t="s">
        <v>1306</v>
      </c>
    </row>
    <row r="378" spans="1:3" x14ac:dyDescent="0.2">
      <c r="A378" s="13" t="s">
        <v>227</v>
      </c>
      <c r="B378" s="21" t="s">
        <v>1017</v>
      </c>
      <c r="C378" s="24" t="s">
        <v>1307</v>
      </c>
    </row>
    <row r="379" spans="1:3" x14ac:dyDescent="0.2">
      <c r="A379" s="13" t="s">
        <v>275</v>
      </c>
      <c r="B379" s="21" t="s">
        <v>947</v>
      </c>
      <c r="C379" s="24" t="s">
        <v>1308</v>
      </c>
    </row>
    <row r="380" spans="1:3" x14ac:dyDescent="0.2">
      <c r="A380" s="13" t="s">
        <v>276</v>
      </c>
      <c r="B380" s="21" t="s">
        <v>947</v>
      </c>
      <c r="C380" s="24" t="s">
        <v>1309</v>
      </c>
    </row>
    <row r="381" spans="1:3" x14ac:dyDescent="0.2">
      <c r="A381" s="13" t="s">
        <v>686</v>
      </c>
      <c r="B381" s="21" t="s">
        <v>970</v>
      </c>
      <c r="C381" s="24" t="s">
        <v>1310</v>
      </c>
    </row>
    <row r="382" spans="1:3" x14ac:dyDescent="0.2">
      <c r="A382" s="13" t="s">
        <v>1311</v>
      </c>
      <c r="B382" s="21" t="s">
        <v>1017</v>
      </c>
      <c r="C382" s="24" t="s">
        <v>1312</v>
      </c>
    </row>
    <row r="383" spans="1:3" x14ac:dyDescent="0.2">
      <c r="A383" s="13" t="s">
        <v>1313</v>
      </c>
      <c r="B383" s="21" t="s">
        <v>947</v>
      </c>
      <c r="C383" s="24" t="s">
        <v>1314</v>
      </c>
    </row>
    <row r="384" spans="1:3" x14ac:dyDescent="0.2">
      <c r="A384" s="13" t="s">
        <v>55</v>
      </c>
      <c r="B384" s="21" t="s">
        <v>1007</v>
      </c>
      <c r="C384" s="24" t="s">
        <v>54</v>
      </c>
    </row>
    <row r="385" spans="1:3" x14ac:dyDescent="0.2">
      <c r="A385" s="13" t="s">
        <v>774</v>
      </c>
      <c r="B385" s="21" t="s">
        <v>1079</v>
      </c>
      <c r="C385" s="24" t="s">
        <v>1315</v>
      </c>
    </row>
    <row r="386" spans="1:3" x14ac:dyDescent="0.2">
      <c r="A386" s="13" t="s">
        <v>717</v>
      </c>
      <c r="B386" s="21" t="s">
        <v>932</v>
      </c>
      <c r="C386" s="24" t="s">
        <v>1316</v>
      </c>
    </row>
    <row r="387" spans="1:3" x14ac:dyDescent="0.2">
      <c r="A387" s="13" t="s">
        <v>613</v>
      </c>
      <c r="B387" s="21" t="s">
        <v>970</v>
      </c>
      <c r="C387" s="24" t="s">
        <v>1317</v>
      </c>
    </row>
    <row r="388" spans="1:3" x14ac:dyDescent="0.2">
      <c r="A388" s="13" t="s">
        <v>614</v>
      </c>
      <c r="B388" s="21" t="s">
        <v>970</v>
      </c>
      <c r="C388" s="24" t="s">
        <v>1317</v>
      </c>
    </row>
    <row r="389" spans="1:3" x14ac:dyDescent="0.2">
      <c r="A389" s="13" t="s">
        <v>615</v>
      </c>
      <c r="B389" s="21" t="s">
        <v>970</v>
      </c>
      <c r="C389" s="24" t="s">
        <v>1317</v>
      </c>
    </row>
    <row r="390" spans="1:3" x14ac:dyDescent="0.2">
      <c r="A390" s="13" t="s">
        <v>1318</v>
      </c>
      <c r="B390" s="21" t="s">
        <v>970</v>
      </c>
      <c r="C390" s="24" t="s">
        <v>1317</v>
      </c>
    </row>
    <row r="391" spans="1:3" x14ac:dyDescent="0.2">
      <c r="A391" s="13" t="s">
        <v>289</v>
      </c>
      <c r="B391" s="21" t="s">
        <v>970</v>
      </c>
      <c r="C391" s="24" t="s">
        <v>1319</v>
      </c>
    </row>
    <row r="392" spans="1:3" x14ac:dyDescent="0.2">
      <c r="A392" s="13" t="s">
        <v>290</v>
      </c>
      <c r="B392" s="21" t="s">
        <v>970</v>
      </c>
      <c r="C392" s="24" t="s">
        <v>1319</v>
      </c>
    </row>
    <row r="393" spans="1:3" x14ac:dyDescent="0.2">
      <c r="A393" s="13" t="s">
        <v>1320</v>
      </c>
      <c r="B393" s="21" t="s">
        <v>970</v>
      </c>
      <c r="C393" s="24" t="s">
        <v>1319</v>
      </c>
    </row>
    <row r="394" spans="1:3" x14ac:dyDescent="0.2">
      <c r="A394" s="13" t="s">
        <v>1321</v>
      </c>
      <c r="B394" s="21" t="s">
        <v>970</v>
      </c>
      <c r="C394" s="24" t="s">
        <v>1319</v>
      </c>
    </row>
    <row r="395" spans="1:3" x14ac:dyDescent="0.2">
      <c r="A395" s="13" t="s">
        <v>450</v>
      </c>
      <c r="B395" s="21" t="s">
        <v>970</v>
      </c>
      <c r="C395" s="24" t="s">
        <v>987</v>
      </c>
    </row>
    <row r="396" spans="1:3" x14ac:dyDescent="0.2">
      <c r="A396" s="13" t="s">
        <v>451</v>
      </c>
      <c r="B396" s="21" t="s">
        <v>970</v>
      </c>
      <c r="C396" s="24" t="s">
        <v>987</v>
      </c>
    </row>
    <row r="397" spans="1:3" x14ac:dyDescent="0.2">
      <c r="A397" s="13" t="s">
        <v>452</v>
      </c>
      <c r="B397" s="21" t="s">
        <v>970</v>
      </c>
      <c r="C397" s="24" t="s">
        <v>987</v>
      </c>
    </row>
    <row r="398" spans="1:3" x14ac:dyDescent="0.2">
      <c r="A398" s="13" t="s">
        <v>446</v>
      </c>
      <c r="B398" s="21" t="s">
        <v>970</v>
      </c>
      <c r="C398" s="24" t="s">
        <v>985</v>
      </c>
    </row>
    <row r="399" spans="1:3" x14ac:dyDescent="0.2">
      <c r="A399" s="13" t="s">
        <v>1322</v>
      </c>
      <c r="B399" s="21" t="s">
        <v>970</v>
      </c>
      <c r="C399" s="24" t="s">
        <v>985</v>
      </c>
    </row>
    <row r="400" spans="1:3" x14ac:dyDescent="0.2">
      <c r="A400" s="13" t="s">
        <v>1323</v>
      </c>
      <c r="B400" s="21" t="s">
        <v>970</v>
      </c>
      <c r="C400" s="24" t="s">
        <v>985</v>
      </c>
    </row>
    <row r="401" spans="1:3" x14ac:dyDescent="0.2">
      <c r="A401" s="13" t="s">
        <v>163</v>
      </c>
      <c r="B401" s="21" t="s">
        <v>970</v>
      </c>
      <c r="C401" s="24" t="s">
        <v>1324</v>
      </c>
    </row>
    <row r="402" spans="1:3" x14ac:dyDescent="0.2">
      <c r="A402" s="13" t="s">
        <v>156</v>
      </c>
      <c r="B402" s="21" t="s">
        <v>970</v>
      </c>
      <c r="C402" s="24" t="s">
        <v>1300</v>
      </c>
    </row>
    <row r="403" spans="1:3" x14ac:dyDescent="0.2">
      <c r="A403" s="13" t="s">
        <v>647</v>
      </c>
      <c r="B403" s="21" t="s">
        <v>1009</v>
      </c>
      <c r="C403" s="24" t="s">
        <v>1325</v>
      </c>
    </row>
    <row r="404" spans="1:3" x14ac:dyDescent="0.2">
      <c r="A404" s="13" t="s">
        <v>648</v>
      </c>
      <c r="B404" s="21" t="s">
        <v>1009</v>
      </c>
      <c r="C404" s="24" t="s">
        <v>1326</v>
      </c>
    </row>
    <row r="405" spans="1:3" x14ac:dyDescent="0.2">
      <c r="A405" s="13" t="s">
        <v>673</v>
      </c>
      <c r="B405" s="21" t="s">
        <v>1009</v>
      </c>
      <c r="C405" s="24" t="s">
        <v>1327</v>
      </c>
    </row>
    <row r="406" spans="1:3" x14ac:dyDescent="0.2">
      <c r="A406" s="13" t="s">
        <v>814</v>
      </c>
      <c r="B406" s="21" t="s">
        <v>1079</v>
      </c>
      <c r="C406" s="24" t="s">
        <v>1328</v>
      </c>
    </row>
    <row r="407" spans="1:3" x14ac:dyDescent="0.2">
      <c r="A407" s="13" t="s">
        <v>416</v>
      </c>
      <c r="B407" s="21" t="s">
        <v>1184</v>
      </c>
      <c r="C407" s="24" t="s">
        <v>66</v>
      </c>
    </row>
    <row r="408" spans="1:3" x14ac:dyDescent="0.2">
      <c r="A408" s="13" t="s">
        <v>134</v>
      </c>
      <c r="B408" s="21" t="s">
        <v>1013</v>
      </c>
      <c r="C408" s="24" t="s">
        <v>1329</v>
      </c>
    </row>
    <row r="409" spans="1:3" x14ac:dyDescent="0.2">
      <c r="A409" s="13" t="s">
        <v>813</v>
      </c>
      <c r="B409" s="21" t="s">
        <v>1013</v>
      </c>
      <c r="C409" s="24" t="s">
        <v>1330</v>
      </c>
    </row>
    <row r="410" spans="1:3" x14ac:dyDescent="0.2">
      <c r="A410" s="13" t="s">
        <v>750</v>
      </c>
      <c r="B410" s="21" t="s">
        <v>1011</v>
      </c>
      <c r="C410" s="24" t="s">
        <v>1331</v>
      </c>
    </row>
    <row r="411" spans="1:3" x14ac:dyDescent="0.2">
      <c r="A411" s="13" t="s">
        <v>751</v>
      </c>
      <c r="B411" s="21" t="s">
        <v>1011</v>
      </c>
      <c r="C411" s="24" t="s">
        <v>1332</v>
      </c>
    </row>
    <row r="412" spans="1:3" x14ac:dyDescent="0.2">
      <c r="A412" s="13" t="s">
        <v>760</v>
      </c>
      <c r="B412" s="21" t="s">
        <v>1011</v>
      </c>
      <c r="C412" s="24" t="s">
        <v>1333</v>
      </c>
    </row>
    <row r="413" spans="1:3" x14ac:dyDescent="0.2">
      <c r="A413" s="13" t="s">
        <v>761</v>
      </c>
      <c r="B413" s="21" t="s">
        <v>1011</v>
      </c>
      <c r="C413" s="24" t="s">
        <v>1334</v>
      </c>
    </row>
    <row r="414" spans="1:3" x14ac:dyDescent="0.2">
      <c r="A414" s="13" t="s">
        <v>755</v>
      </c>
      <c r="B414" s="21" t="s">
        <v>1011</v>
      </c>
      <c r="C414" s="24" t="s">
        <v>1335</v>
      </c>
    </row>
    <row r="415" spans="1:3" x14ac:dyDescent="0.2">
      <c r="A415" s="13" t="s">
        <v>756</v>
      </c>
      <c r="B415" s="21" t="s">
        <v>1011</v>
      </c>
      <c r="C415" s="24" t="s">
        <v>1336</v>
      </c>
    </row>
    <row r="416" spans="1:3" x14ac:dyDescent="0.2">
      <c r="A416" s="13" t="s">
        <v>333</v>
      </c>
      <c r="B416" s="21" t="s">
        <v>1006</v>
      </c>
      <c r="C416" s="24" t="s">
        <v>332</v>
      </c>
    </row>
    <row r="417" spans="1:3" x14ac:dyDescent="0.2">
      <c r="A417" s="13" t="s">
        <v>457</v>
      </c>
      <c r="B417" s="21" t="s">
        <v>1497</v>
      </c>
      <c r="C417" s="24" t="s">
        <v>1337</v>
      </c>
    </row>
    <row r="418" spans="1:3" x14ac:dyDescent="0.2">
      <c r="A418" s="13" t="s">
        <v>517</v>
      </c>
      <c r="B418" s="21" t="s">
        <v>1497</v>
      </c>
      <c r="C418" s="24" t="s">
        <v>1338</v>
      </c>
    </row>
    <row r="419" spans="1:3" x14ac:dyDescent="0.2">
      <c r="A419" s="13" t="s">
        <v>520</v>
      </c>
      <c r="B419" s="21" t="s">
        <v>1497</v>
      </c>
      <c r="C419" s="24" t="s">
        <v>1339</v>
      </c>
    </row>
    <row r="420" spans="1:3" x14ac:dyDescent="0.2">
      <c r="A420" s="13" t="s">
        <v>521</v>
      </c>
      <c r="B420" s="21" t="s">
        <v>1497</v>
      </c>
      <c r="C420" s="24" t="s">
        <v>1340</v>
      </c>
    </row>
    <row r="421" spans="1:3" x14ac:dyDescent="0.2">
      <c r="A421" s="13" t="s">
        <v>527</v>
      </c>
      <c r="B421" s="21" t="s">
        <v>1497</v>
      </c>
      <c r="C421" s="24" t="s">
        <v>1341</v>
      </c>
    </row>
    <row r="422" spans="1:3" x14ac:dyDescent="0.2">
      <c r="A422" s="13" t="s">
        <v>1342</v>
      </c>
      <c r="B422" s="21" t="s">
        <v>1497</v>
      </c>
      <c r="C422" s="24" t="s">
        <v>1343</v>
      </c>
    </row>
    <row r="423" spans="1:3" x14ac:dyDescent="0.2">
      <c r="A423" s="13" t="s">
        <v>518</v>
      </c>
      <c r="B423" s="21" t="s">
        <v>1497</v>
      </c>
      <c r="C423" s="24" t="s">
        <v>1344</v>
      </c>
    </row>
    <row r="424" spans="1:3" x14ac:dyDescent="0.2">
      <c r="A424" s="13" t="s">
        <v>825</v>
      </c>
      <c r="B424" s="21" t="s">
        <v>1497</v>
      </c>
      <c r="C424" s="24" t="s">
        <v>1345</v>
      </c>
    </row>
    <row r="425" spans="1:3" x14ac:dyDescent="0.2">
      <c r="A425" s="13" t="s">
        <v>519</v>
      </c>
      <c r="B425" s="21" t="s">
        <v>1497</v>
      </c>
      <c r="C425" s="24" t="s">
        <v>1346</v>
      </c>
    </row>
    <row r="426" spans="1:3" x14ac:dyDescent="0.2">
      <c r="A426" s="13" t="s">
        <v>1347</v>
      </c>
      <c r="B426" s="21" t="s">
        <v>1497</v>
      </c>
      <c r="C426" s="24" t="s">
        <v>1348</v>
      </c>
    </row>
    <row r="427" spans="1:3" x14ac:dyDescent="0.2">
      <c r="A427" s="13" t="s">
        <v>1349</v>
      </c>
      <c r="B427" s="21" t="s">
        <v>1497</v>
      </c>
      <c r="C427" s="24" t="s">
        <v>1350</v>
      </c>
    </row>
    <row r="428" spans="1:3" x14ac:dyDescent="0.2">
      <c r="A428" s="13" t="s">
        <v>454</v>
      </c>
      <c r="B428" s="21" t="s">
        <v>1907</v>
      </c>
      <c r="C428" s="24" t="s">
        <v>1351</v>
      </c>
    </row>
    <row r="429" spans="1:3" x14ac:dyDescent="0.2">
      <c r="A429" s="13" t="s">
        <v>675</v>
      </c>
      <c r="B429" s="21" t="s">
        <v>1907</v>
      </c>
      <c r="C429" s="24" t="s">
        <v>1352</v>
      </c>
    </row>
    <row r="430" spans="1:3" x14ac:dyDescent="0.2">
      <c r="A430" s="13" t="s">
        <v>676</v>
      </c>
      <c r="B430" s="21" t="s">
        <v>1907</v>
      </c>
      <c r="C430" s="24" t="s">
        <v>1353</v>
      </c>
    </row>
    <row r="431" spans="1:3" x14ac:dyDescent="0.2">
      <c r="A431" s="13" t="s">
        <v>525</v>
      </c>
      <c r="B431" s="21" t="s">
        <v>1907</v>
      </c>
      <c r="C431" s="24" t="s">
        <v>1354</v>
      </c>
    </row>
    <row r="432" spans="1:3" x14ac:dyDescent="0.2">
      <c r="A432" s="13" t="s">
        <v>1355</v>
      </c>
      <c r="B432" s="21" t="s">
        <v>1907</v>
      </c>
      <c r="C432" s="24" t="s">
        <v>1356</v>
      </c>
    </row>
    <row r="433" spans="1:3" x14ac:dyDescent="0.2">
      <c r="A433" s="13" t="s">
        <v>532</v>
      </c>
      <c r="B433" s="21" t="s">
        <v>1907</v>
      </c>
      <c r="C433" s="24" t="s">
        <v>1357</v>
      </c>
    </row>
    <row r="434" spans="1:3" x14ac:dyDescent="0.2">
      <c r="A434" s="13" t="s">
        <v>533</v>
      </c>
      <c r="B434" s="21" t="s">
        <v>1907</v>
      </c>
      <c r="C434" s="24" t="s">
        <v>1358</v>
      </c>
    </row>
    <row r="435" spans="1:3" x14ac:dyDescent="0.2">
      <c r="A435" s="13" t="s">
        <v>1359</v>
      </c>
      <c r="B435" s="21" t="s">
        <v>1907</v>
      </c>
      <c r="C435" s="24" t="s">
        <v>1360</v>
      </c>
    </row>
    <row r="436" spans="1:3" x14ac:dyDescent="0.2">
      <c r="A436" s="13" t="s">
        <v>1361</v>
      </c>
      <c r="B436" s="21" t="s">
        <v>1907</v>
      </c>
      <c r="C436" s="24" t="s">
        <v>1362</v>
      </c>
    </row>
    <row r="437" spans="1:3" x14ac:dyDescent="0.2">
      <c r="A437" s="13" t="s">
        <v>456</v>
      </c>
      <c r="B437" s="21" t="s">
        <v>1009</v>
      </c>
      <c r="C437" s="24" t="s">
        <v>1363</v>
      </c>
    </row>
    <row r="438" spans="1:3" x14ac:dyDescent="0.2">
      <c r="A438" s="13" t="s">
        <v>674</v>
      </c>
      <c r="B438" s="21" t="s">
        <v>1009</v>
      </c>
      <c r="C438" s="24" t="s">
        <v>1364</v>
      </c>
    </row>
    <row r="439" spans="1:3" x14ac:dyDescent="0.2">
      <c r="A439" s="13" t="s">
        <v>526</v>
      </c>
      <c r="B439" s="21" t="s">
        <v>1009</v>
      </c>
      <c r="C439" s="24" t="s">
        <v>1365</v>
      </c>
    </row>
    <row r="440" spans="1:3" x14ac:dyDescent="0.2">
      <c r="A440" s="13" t="s">
        <v>529</v>
      </c>
      <c r="B440" s="21" t="s">
        <v>1009</v>
      </c>
      <c r="C440" s="24" t="s">
        <v>1366</v>
      </c>
    </row>
    <row r="441" spans="1:3" x14ac:dyDescent="0.2">
      <c r="A441" s="13" t="s">
        <v>530</v>
      </c>
      <c r="B441" s="21" t="s">
        <v>1009</v>
      </c>
      <c r="C441" s="24" t="s">
        <v>1367</v>
      </c>
    </row>
    <row r="442" spans="1:3" x14ac:dyDescent="0.2">
      <c r="A442" s="13" t="s">
        <v>1368</v>
      </c>
      <c r="B442" s="21" t="s">
        <v>1009</v>
      </c>
      <c r="C442" s="24" t="s">
        <v>1369</v>
      </c>
    </row>
    <row r="443" spans="1:3" x14ac:dyDescent="0.2">
      <c r="A443" s="13" t="s">
        <v>672</v>
      </c>
      <c r="B443" s="21" t="s">
        <v>1009</v>
      </c>
      <c r="C443" s="24" t="s">
        <v>1370</v>
      </c>
    </row>
    <row r="444" spans="1:3" x14ac:dyDescent="0.2">
      <c r="A444" s="14" t="s">
        <v>1371</v>
      </c>
      <c r="B444" s="21" t="s">
        <v>1009</v>
      </c>
      <c r="C444" s="24" t="s">
        <v>1372</v>
      </c>
    </row>
    <row r="445" spans="1:3" x14ac:dyDescent="0.2">
      <c r="A445" s="14" t="s">
        <v>111</v>
      </c>
      <c r="B445" s="21" t="s">
        <v>970</v>
      </c>
      <c r="C445" s="24" t="s">
        <v>1373</v>
      </c>
    </row>
    <row r="446" spans="1:3" x14ac:dyDescent="0.2">
      <c r="A446" s="14" t="s">
        <v>632</v>
      </c>
      <c r="B446" s="21" t="s">
        <v>1075</v>
      </c>
      <c r="C446" s="24" t="s">
        <v>1374</v>
      </c>
    </row>
    <row r="447" spans="1:3" x14ac:dyDescent="0.2">
      <c r="A447" s="14" t="s">
        <v>352</v>
      </c>
      <c r="B447" s="21" t="s">
        <v>947</v>
      </c>
      <c r="C447" s="24" t="s">
        <v>283</v>
      </c>
    </row>
    <row r="448" spans="1:3" x14ac:dyDescent="0.2">
      <c r="A448" s="14" t="s">
        <v>618</v>
      </c>
      <c r="B448" s="21" t="s">
        <v>947</v>
      </c>
      <c r="C448" s="24" t="s">
        <v>270</v>
      </c>
    </row>
    <row r="449" spans="1:3" x14ac:dyDescent="0.2">
      <c r="A449" s="14" t="s">
        <v>255</v>
      </c>
      <c r="B449" s="21" t="s">
        <v>947</v>
      </c>
      <c r="C449" s="24" t="s">
        <v>254</v>
      </c>
    </row>
    <row r="450" spans="1:3" x14ac:dyDescent="0.2">
      <c r="A450" s="14" t="s">
        <v>432</v>
      </c>
      <c r="B450" s="21" t="s">
        <v>1079</v>
      </c>
      <c r="C450" s="24" t="s">
        <v>1375</v>
      </c>
    </row>
    <row r="451" spans="1:3" x14ac:dyDescent="0.2">
      <c r="A451" s="14" t="s">
        <v>636</v>
      </c>
      <c r="B451" s="21" t="s">
        <v>1079</v>
      </c>
      <c r="C451" s="24" t="s">
        <v>1376</v>
      </c>
    </row>
    <row r="452" spans="1:3" x14ac:dyDescent="0.2">
      <c r="A452" s="14" t="s">
        <v>638</v>
      </c>
      <c r="B452" s="21" t="s">
        <v>1079</v>
      </c>
      <c r="C452" s="24" t="s">
        <v>1377</v>
      </c>
    </row>
    <row r="453" spans="1:3" x14ac:dyDescent="0.2">
      <c r="A453" s="14" t="s">
        <v>642</v>
      </c>
      <c r="B453" s="21" t="s">
        <v>1079</v>
      </c>
      <c r="C453" s="24" t="s">
        <v>1378</v>
      </c>
    </row>
    <row r="454" spans="1:3" x14ac:dyDescent="0.2">
      <c r="A454" s="14" t="s">
        <v>267</v>
      </c>
      <c r="B454" s="21" t="s">
        <v>947</v>
      </c>
      <c r="C454" s="24" t="s">
        <v>1379</v>
      </c>
    </row>
    <row r="455" spans="1:3" x14ac:dyDescent="0.2">
      <c r="A455" s="14" t="s">
        <v>272</v>
      </c>
      <c r="B455" s="21" t="s">
        <v>947</v>
      </c>
      <c r="C455" s="24" t="s">
        <v>1380</v>
      </c>
    </row>
    <row r="456" spans="1:3" x14ac:dyDescent="0.2">
      <c r="A456" s="14" t="s">
        <v>551</v>
      </c>
      <c r="B456" s="21" t="s">
        <v>947</v>
      </c>
      <c r="C456" s="24" t="s">
        <v>1381</v>
      </c>
    </row>
    <row r="457" spans="1:3" x14ac:dyDescent="0.2">
      <c r="A457" s="14" t="s">
        <v>90</v>
      </c>
      <c r="B457" s="21" t="s">
        <v>947</v>
      </c>
      <c r="C457" s="24" t="s">
        <v>1382</v>
      </c>
    </row>
    <row r="458" spans="1:3" x14ac:dyDescent="0.2">
      <c r="A458" s="14" t="s">
        <v>205</v>
      </c>
      <c r="B458" s="21" t="s">
        <v>947</v>
      </c>
      <c r="C458" s="24" t="s">
        <v>1383</v>
      </c>
    </row>
    <row r="459" spans="1:3" x14ac:dyDescent="0.2">
      <c r="A459" s="14" t="s">
        <v>76</v>
      </c>
      <c r="B459" s="21" t="s">
        <v>947</v>
      </c>
      <c r="C459" s="24" t="s">
        <v>1384</v>
      </c>
    </row>
    <row r="460" spans="1:3" x14ac:dyDescent="0.2">
      <c r="A460" s="14" t="s">
        <v>822</v>
      </c>
      <c r="B460" s="21" t="s">
        <v>947</v>
      </c>
      <c r="C460" s="24" t="s">
        <v>1385</v>
      </c>
    </row>
    <row r="461" spans="1:3" x14ac:dyDescent="0.2">
      <c r="A461" s="14" t="s">
        <v>266</v>
      </c>
      <c r="B461" s="21" t="s">
        <v>947</v>
      </c>
      <c r="C461" s="24" t="s">
        <v>1386</v>
      </c>
    </row>
    <row r="462" spans="1:3" x14ac:dyDescent="0.2">
      <c r="A462" s="14" t="s">
        <v>181</v>
      </c>
      <c r="B462" s="21" t="s">
        <v>970</v>
      </c>
      <c r="C462" s="24" t="s">
        <v>1387</v>
      </c>
    </row>
    <row r="463" spans="1:3" x14ac:dyDescent="0.2">
      <c r="A463" s="14" t="s">
        <v>131</v>
      </c>
      <c r="B463" s="21" t="s">
        <v>970</v>
      </c>
      <c r="C463" s="24" t="s">
        <v>1140</v>
      </c>
    </row>
    <row r="464" spans="1:3" x14ac:dyDescent="0.2">
      <c r="A464" s="14" t="s">
        <v>138</v>
      </c>
      <c r="B464" s="21" t="s">
        <v>970</v>
      </c>
      <c r="C464" s="24" t="s">
        <v>1388</v>
      </c>
    </row>
    <row r="465" spans="1:3" x14ac:dyDescent="0.2">
      <c r="A465" s="14" t="s">
        <v>684</v>
      </c>
      <c r="B465" s="21" t="s">
        <v>970</v>
      </c>
      <c r="C465" s="24" t="s">
        <v>1389</v>
      </c>
    </row>
    <row r="466" spans="1:3" x14ac:dyDescent="0.2">
      <c r="A466" s="14" t="s">
        <v>826</v>
      </c>
      <c r="B466" s="21" t="s">
        <v>970</v>
      </c>
      <c r="C466" s="24" t="s">
        <v>827</v>
      </c>
    </row>
    <row r="467" spans="1:3" x14ac:dyDescent="0.2">
      <c r="A467" s="14" t="s">
        <v>828</v>
      </c>
      <c r="B467" s="21" t="s">
        <v>947</v>
      </c>
      <c r="C467" s="24" t="s">
        <v>1390</v>
      </c>
    </row>
    <row r="468" spans="1:3" x14ac:dyDescent="0.2">
      <c r="A468" s="14" t="s">
        <v>830</v>
      </c>
      <c r="B468" s="21" t="s">
        <v>947</v>
      </c>
      <c r="C468" s="24" t="s">
        <v>1391</v>
      </c>
    </row>
    <row r="469" spans="1:3" x14ac:dyDescent="0.2">
      <c r="A469" s="14" t="s">
        <v>832</v>
      </c>
      <c r="B469" s="21" t="s">
        <v>947</v>
      </c>
      <c r="C469" s="24" t="s">
        <v>1392</v>
      </c>
    </row>
    <row r="470" spans="1:3" x14ac:dyDescent="0.2">
      <c r="A470" s="14" t="s">
        <v>816</v>
      </c>
      <c r="B470" s="21" t="s">
        <v>947</v>
      </c>
      <c r="C470" s="24" t="s">
        <v>817</v>
      </c>
    </row>
    <row r="471" spans="1:3" x14ac:dyDescent="0.2">
      <c r="A471" s="14" t="s">
        <v>818</v>
      </c>
      <c r="B471" s="21" t="s">
        <v>947</v>
      </c>
      <c r="C471" s="24" t="s">
        <v>819</v>
      </c>
    </row>
    <row r="472" spans="1:3" x14ac:dyDescent="0.2">
      <c r="A472" s="14" t="s">
        <v>820</v>
      </c>
      <c r="B472" s="21" t="s">
        <v>947</v>
      </c>
      <c r="C472" s="24" t="s">
        <v>1393</v>
      </c>
    </row>
    <row r="473" spans="1:3" x14ac:dyDescent="0.2">
      <c r="A473" s="14" t="s">
        <v>617</v>
      </c>
      <c r="B473" s="21" t="s">
        <v>947</v>
      </c>
      <c r="C473" s="24" t="s">
        <v>1394</v>
      </c>
    </row>
    <row r="474" spans="1:3" x14ac:dyDescent="0.2">
      <c r="A474" s="14" t="s">
        <v>170</v>
      </c>
      <c r="B474" s="21" t="s">
        <v>970</v>
      </c>
      <c r="C474" s="24" t="s">
        <v>1395</v>
      </c>
    </row>
    <row r="475" spans="1:3" x14ac:dyDescent="0.2">
      <c r="A475" s="14" t="s">
        <v>175</v>
      </c>
      <c r="B475" s="21" t="s">
        <v>970</v>
      </c>
      <c r="C475" s="24" t="s">
        <v>1396</v>
      </c>
    </row>
    <row r="476" spans="1:3" x14ac:dyDescent="0.2">
      <c r="A476" s="14" t="s">
        <v>155</v>
      </c>
      <c r="B476" s="21" t="s">
        <v>970</v>
      </c>
      <c r="C476" s="24" t="s">
        <v>1397</v>
      </c>
    </row>
    <row r="477" spans="1:3" x14ac:dyDescent="0.2">
      <c r="A477" s="14" t="s">
        <v>162</v>
      </c>
      <c r="B477" s="21" t="s">
        <v>970</v>
      </c>
      <c r="C477" s="24" t="s">
        <v>1398</v>
      </c>
    </row>
    <row r="478" spans="1:3" x14ac:dyDescent="0.2">
      <c r="A478" s="14" t="s">
        <v>1399</v>
      </c>
      <c r="B478" s="21" t="s">
        <v>947</v>
      </c>
      <c r="C478" s="24" t="s">
        <v>1400</v>
      </c>
    </row>
    <row r="479" spans="1:3" x14ac:dyDescent="0.2">
      <c r="A479" s="14" t="s">
        <v>824</v>
      </c>
      <c r="B479" s="21" t="s">
        <v>947</v>
      </c>
      <c r="C479" s="24" t="s">
        <v>1401</v>
      </c>
    </row>
    <row r="480" spans="1:3" x14ac:dyDescent="0.2">
      <c r="A480" s="14" t="s">
        <v>353</v>
      </c>
      <c r="B480" s="21" t="s">
        <v>947</v>
      </c>
      <c r="C480" s="24" t="s">
        <v>1402</v>
      </c>
    </row>
    <row r="481" spans="1:3" x14ac:dyDescent="0.2">
      <c r="A481" s="14" t="s">
        <v>766</v>
      </c>
      <c r="B481" s="21" t="s">
        <v>1007</v>
      </c>
      <c r="C481" s="24" t="s">
        <v>1403</v>
      </c>
    </row>
    <row r="482" spans="1:3" x14ac:dyDescent="0.2">
      <c r="A482" s="14" t="s">
        <v>768</v>
      </c>
      <c r="B482" s="21" t="s">
        <v>1007</v>
      </c>
      <c r="C482" s="24" t="s">
        <v>1404</v>
      </c>
    </row>
    <row r="483" spans="1:3" x14ac:dyDescent="0.2">
      <c r="A483" s="14" t="s">
        <v>540</v>
      </c>
      <c r="B483" s="21" t="s">
        <v>1007</v>
      </c>
      <c r="C483" s="24" t="s">
        <v>1405</v>
      </c>
    </row>
    <row r="484" spans="1:3" x14ac:dyDescent="0.2">
      <c r="A484" s="14" t="s">
        <v>52</v>
      </c>
      <c r="B484" s="21" t="s">
        <v>1007</v>
      </c>
      <c r="C484" s="24" t="s">
        <v>51</v>
      </c>
    </row>
    <row r="485" spans="1:3" x14ac:dyDescent="0.2">
      <c r="A485" s="14" t="s">
        <v>336</v>
      </c>
      <c r="B485" s="21" t="s">
        <v>1006</v>
      </c>
      <c r="C485" s="24" t="s">
        <v>1406</v>
      </c>
    </row>
    <row r="486" spans="1:3" x14ac:dyDescent="0.2">
      <c r="A486" s="14" t="s">
        <v>1407</v>
      </c>
      <c r="B486" s="21" t="s">
        <v>1015</v>
      </c>
      <c r="C486" s="24" t="s">
        <v>1408</v>
      </c>
    </row>
    <row r="487" spans="1:3" x14ac:dyDescent="0.2">
      <c r="A487" s="14" t="s">
        <v>804</v>
      </c>
      <c r="B487" s="21" t="s">
        <v>1015</v>
      </c>
      <c r="C487" s="24" t="s">
        <v>1409</v>
      </c>
    </row>
    <row r="488" spans="1:3" x14ac:dyDescent="0.2">
      <c r="A488" s="14" t="s">
        <v>113</v>
      </c>
      <c r="B488" s="21" t="s">
        <v>970</v>
      </c>
      <c r="C488" s="24" t="s">
        <v>1373</v>
      </c>
    </row>
    <row r="489" spans="1:3" x14ac:dyDescent="0.2">
      <c r="A489" s="14" t="s">
        <v>157</v>
      </c>
      <c r="B489" s="21" t="s">
        <v>970</v>
      </c>
      <c r="C489" s="24" t="s">
        <v>1410</v>
      </c>
    </row>
    <row r="490" spans="1:3" x14ac:dyDescent="0.2">
      <c r="A490" s="14" t="s">
        <v>164</v>
      </c>
      <c r="B490" s="21" t="s">
        <v>970</v>
      </c>
      <c r="C490" s="24" t="s">
        <v>1411</v>
      </c>
    </row>
    <row r="491" spans="1:3" x14ac:dyDescent="0.2">
      <c r="A491" s="14" t="s">
        <v>119</v>
      </c>
      <c r="B491" s="21" t="s">
        <v>970</v>
      </c>
      <c r="C491" s="24" t="s">
        <v>1412</v>
      </c>
    </row>
    <row r="492" spans="1:3" x14ac:dyDescent="0.2">
      <c r="A492" s="14" t="s">
        <v>769</v>
      </c>
      <c r="B492" s="21" t="s">
        <v>1006</v>
      </c>
      <c r="C492" s="24" t="s">
        <v>48</v>
      </c>
    </row>
    <row r="493" spans="1:3" x14ac:dyDescent="0.2">
      <c r="A493" s="14" t="s">
        <v>770</v>
      </c>
      <c r="B493" s="21" t="s">
        <v>1006</v>
      </c>
      <c r="C493" s="24" t="s">
        <v>1413</v>
      </c>
    </row>
    <row r="494" spans="1:3" x14ac:dyDescent="0.2">
      <c r="A494" s="14" t="s">
        <v>407</v>
      </c>
      <c r="B494" s="21" t="s">
        <v>970</v>
      </c>
      <c r="C494" s="24" t="s">
        <v>1414</v>
      </c>
    </row>
    <row r="495" spans="1:3" x14ac:dyDescent="0.2">
      <c r="A495" s="14" t="s">
        <v>738</v>
      </c>
      <c r="B495" s="21" t="s">
        <v>1147</v>
      </c>
      <c r="C495" s="24" t="s">
        <v>626</v>
      </c>
    </row>
    <row r="496" spans="1:3" x14ac:dyDescent="0.2">
      <c r="A496" s="14" t="s">
        <v>687</v>
      </c>
      <c r="B496" s="21" t="s">
        <v>1017</v>
      </c>
      <c r="C496" s="24" t="s">
        <v>1303</v>
      </c>
    </row>
    <row r="497" spans="1:3" x14ac:dyDescent="0.2">
      <c r="A497" s="14" t="s">
        <v>856</v>
      </c>
      <c r="B497" s="21" t="s">
        <v>970</v>
      </c>
      <c r="C497" s="24" t="s">
        <v>857</v>
      </c>
    </row>
    <row r="498" spans="1:3" x14ac:dyDescent="0.2">
      <c r="A498" s="14" t="s">
        <v>836</v>
      </c>
      <c r="B498" s="21" t="s">
        <v>947</v>
      </c>
      <c r="C498" s="24" t="s">
        <v>1415</v>
      </c>
    </row>
    <row r="499" spans="1:3" x14ac:dyDescent="0.2">
      <c r="A499" s="14" t="s">
        <v>834</v>
      </c>
      <c r="B499" s="21" t="s">
        <v>947</v>
      </c>
      <c r="C499" s="24" t="s">
        <v>1416</v>
      </c>
    </row>
    <row r="500" spans="1:3" x14ac:dyDescent="0.2">
      <c r="A500" s="14" t="s">
        <v>838</v>
      </c>
      <c r="B500" s="21" t="s">
        <v>947</v>
      </c>
      <c r="C500" s="24" t="s">
        <v>1417</v>
      </c>
    </row>
    <row r="501" spans="1:3" x14ac:dyDescent="0.2">
      <c r="A501" s="14" t="s">
        <v>182</v>
      </c>
      <c r="B501" s="21" t="s">
        <v>1418</v>
      </c>
      <c r="C501" s="24" t="s">
        <v>1419</v>
      </c>
    </row>
    <row r="502" spans="1:3" x14ac:dyDescent="0.2">
      <c r="A502" s="15" t="s">
        <v>848</v>
      </c>
      <c r="B502" s="21" t="s">
        <v>970</v>
      </c>
      <c r="C502" s="24" t="s">
        <v>1420</v>
      </c>
    </row>
    <row r="503" spans="1:3" x14ac:dyDescent="0.2">
      <c r="A503" s="15" t="s">
        <v>851</v>
      </c>
      <c r="B503" s="21" t="s">
        <v>970</v>
      </c>
      <c r="C503" s="5" t="s">
        <v>1420</v>
      </c>
    </row>
    <row r="504" spans="1:3" x14ac:dyDescent="0.2">
      <c r="A504" s="15" t="s">
        <v>837</v>
      </c>
      <c r="B504" s="21" t="s">
        <v>947</v>
      </c>
      <c r="C504" s="5" t="s">
        <v>1421</v>
      </c>
    </row>
    <row r="505" spans="1:3" x14ac:dyDescent="0.2">
      <c r="A505" s="15" t="s">
        <v>853</v>
      </c>
      <c r="B505" s="21" t="s">
        <v>970</v>
      </c>
      <c r="C505" s="5" t="s">
        <v>1422</v>
      </c>
    </row>
    <row r="506" spans="1:3" x14ac:dyDescent="0.2">
      <c r="A506" s="6" t="s">
        <v>595</v>
      </c>
      <c r="B506" s="21" t="s">
        <v>932</v>
      </c>
      <c r="C506" s="7" t="s">
        <v>1423</v>
      </c>
    </row>
    <row r="507" spans="1:3" x14ac:dyDescent="0.2">
      <c r="A507" s="6" t="s">
        <v>835</v>
      </c>
      <c r="B507" s="21" t="s">
        <v>947</v>
      </c>
      <c r="C507" s="7" t="s">
        <v>1424</v>
      </c>
    </row>
    <row r="508" spans="1:3" x14ac:dyDescent="0.2">
      <c r="A508" s="6" t="s">
        <v>656</v>
      </c>
      <c r="B508" s="21" t="s">
        <v>932</v>
      </c>
      <c r="C508" s="7" t="s">
        <v>1425</v>
      </c>
    </row>
    <row r="509" spans="1:3" x14ac:dyDescent="0.2">
      <c r="A509" s="6" t="s">
        <v>850</v>
      </c>
      <c r="B509" s="21" t="s">
        <v>970</v>
      </c>
      <c r="C509" s="7" t="s">
        <v>1426</v>
      </c>
    </row>
    <row r="510" spans="1:3" x14ac:dyDescent="0.2">
      <c r="A510" s="6" t="s">
        <v>842</v>
      </c>
      <c r="B510" s="21" t="s">
        <v>947</v>
      </c>
      <c r="C510" s="7" t="s">
        <v>1427</v>
      </c>
    </row>
    <row r="511" spans="1:3" x14ac:dyDescent="0.2">
      <c r="A511" s="6" t="s">
        <v>839</v>
      </c>
      <c r="B511" s="21" t="s">
        <v>947</v>
      </c>
      <c r="C511" s="7" t="s">
        <v>1428</v>
      </c>
    </row>
    <row r="512" spans="1:3" x14ac:dyDescent="0.2">
      <c r="A512" s="15" t="s">
        <v>802</v>
      </c>
      <c r="B512" s="21" t="s">
        <v>1015</v>
      </c>
      <c r="C512" s="24" t="s">
        <v>708</v>
      </c>
    </row>
    <row r="513" spans="1:3" x14ac:dyDescent="0.2">
      <c r="A513" s="14" t="s">
        <v>847</v>
      </c>
      <c r="B513" s="21" t="s">
        <v>1141</v>
      </c>
      <c r="C513" s="24" t="s">
        <v>1429</v>
      </c>
    </row>
    <row r="514" spans="1:3" x14ac:dyDescent="0.2">
      <c r="A514" s="14" t="s">
        <v>188</v>
      </c>
      <c r="B514" s="21" t="s">
        <v>1075</v>
      </c>
      <c r="C514" s="24" t="s">
        <v>1430</v>
      </c>
    </row>
    <row r="515" spans="1:3" x14ac:dyDescent="0.2">
      <c r="A515" s="14" t="s">
        <v>192</v>
      </c>
      <c r="B515" s="21" t="s">
        <v>1075</v>
      </c>
      <c r="C515" s="24" t="s">
        <v>1431</v>
      </c>
    </row>
    <row r="516" spans="1:3" x14ac:dyDescent="0.2">
      <c r="A516" s="16" t="s">
        <v>845</v>
      </c>
      <c r="B516" s="22" t="s">
        <v>1141</v>
      </c>
      <c r="C516" s="25" t="s">
        <v>1432</v>
      </c>
    </row>
    <row r="517" spans="1:3" x14ac:dyDescent="0.2">
      <c r="A517" s="16" t="s">
        <v>395</v>
      </c>
      <c r="B517" s="22" t="s">
        <v>1075</v>
      </c>
      <c r="C517" s="25" t="s">
        <v>394</v>
      </c>
    </row>
    <row r="518" spans="1:3" x14ac:dyDescent="0.2">
      <c r="A518" s="16" t="s">
        <v>398</v>
      </c>
      <c r="B518" s="22" t="s">
        <v>1075</v>
      </c>
      <c r="C518" s="25" t="s">
        <v>1433</v>
      </c>
    </row>
    <row r="519" spans="1:3" x14ac:dyDescent="0.2">
      <c r="A519" s="17" t="s">
        <v>854</v>
      </c>
      <c r="B519" s="22" t="s">
        <v>1091</v>
      </c>
      <c r="C519" s="26" t="s">
        <v>1434</v>
      </c>
    </row>
    <row r="520" spans="1:3" x14ac:dyDescent="0.2">
      <c r="A520" s="17" t="s">
        <v>439</v>
      </c>
      <c r="B520" s="22" t="s">
        <v>1075</v>
      </c>
      <c r="C520" s="26" t="s">
        <v>1435</v>
      </c>
    </row>
    <row r="521" spans="1:3" x14ac:dyDescent="0.2">
      <c r="A521" s="17" t="s">
        <v>60</v>
      </c>
      <c r="B521" s="22" t="s">
        <v>1005</v>
      </c>
      <c r="C521" s="26" t="s">
        <v>1436</v>
      </c>
    </row>
    <row r="522" spans="1:3" x14ac:dyDescent="0.2">
      <c r="A522" s="14" t="s">
        <v>773</v>
      </c>
      <c r="B522" s="23" t="s">
        <v>1005</v>
      </c>
      <c r="C522" s="24" t="s">
        <v>772</v>
      </c>
    </row>
    <row r="523" spans="1:3" x14ac:dyDescent="0.2">
      <c r="A523" s="14" t="s">
        <v>875</v>
      </c>
      <c r="B523" s="28" t="s">
        <v>1116</v>
      </c>
      <c r="C523" s="24" t="s">
        <v>1437</v>
      </c>
    </row>
    <row r="524" spans="1:3" x14ac:dyDescent="0.2">
      <c r="A524" s="14" t="s">
        <v>64</v>
      </c>
      <c r="B524" s="23" t="s">
        <v>1005</v>
      </c>
      <c r="C524" s="24" t="s">
        <v>54</v>
      </c>
    </row>
    <row r="525" spans="1:3" x14ac:dyDescent="0.2">
      <c r="A525" s="14" t="s">
        <v>62</v>
      </c>
      <c r="B525" s="23" t="s">
        <v>1005</v>
      </c>
      <c r="C525" s="24" t="s">
        <v>51</v>
      </c>
    </row>
    <row r="526" spans="1:3" x14ac:dyDescent="0.2">
      <c r="A526" s="14" t="s">
        <v>436</v>
      </c>
      <c r="B526" s="23" t="s">
        <v>1075</v>
      </c>
      <c r="C526" s="24" t="s">
        <v>1438</v>
      </c>
    </row>
    <row r="527" spans="1:3" x14ac:dyDescent="0.2">
      <c r="A527" s="14" t="s">
        <v>442</v>
      </c>
      <c r="B527" s="23" t="s">
        <v>1075</v>
      </c>
      <c r="C527" s="24" t="s">
        <v>1439</v>
      </c>
    </row>
    <row r="528" spans="1:3" x14ac:dyDescent="0.2">
      <c r="A528" s="14" t="s">
        <v>840</v>
      </c>
      <c r="B528" s="24" t="s">
        <v>1005</v>
      </c>
      <c r="C528" s="24" t="s">
        <v>48</v>
      </c>
    </row>
    <row r="529" spans="1:3" x14ac:dyDescent="0.2">
      <c r="A529" s="14" t="s">
        <v>424</v>
      </c>
      <c r="B529" s="24" t="s">
        <v>947</v>
      </c>
      <c r="C529" s="24" t="s">
        <v>1440</v>
      </c>
    </row>
    <row r="530" spans="1:3" x14ac:dyDescent="0.2">
      <c r="A530" s="14" t="s">
        <v>418</v>
      </c>
      <c r="B530" s="24" t="s">
        <v>1184</v>
      </c>
      <c r="C530" s="24" t="s">
        <v>1441</v>
      </c>
    </row>
    <row r="531" spans="1:3" x14ac:dyDescent="0.2">
      <c r="A531" s="18" t="s">
        <v>841</v>
      </c>
      <c r="B531" s="20" t="s">
        <v>1005</v>
      </c>
      <c r="C531" s="20" t="s">
        <v>626</v>
      </c>
    </row>
    <row r="532" spans="1:3" x14ac:dyDescent="0.2">
      <c r="A532" s="18" t="s">
        <v>657</v>
      </c>
      <c r="B532" s="21" t="s">
        <v>932</v>
      </c>
      <c r="C532" s="20" t="s">
        <v>1442</v>
      </c>
    </row>
    <row r="533" spans="1:3" x14ac:dyDescent="0.2">
      <c r="A533" s="18" t="s">
        <v>524</v>
      </c>
      <c r="B533" s="20" t="s">
        <v>1460</v>
      </c>
      <c r="C533" s="20" t="s">
        <v>1443</v>
      </c>
    </row>
    <row r="534" spans="1:3" x14ac:dyDescent="0.2">
      <c r="A534" s="18" t="s">
        <v>541</v>
      </c>
      <c r="B534" s="20" t="s">
        <v>1460</v>
      </c>
      <c r="C534" s="20" t="s">
        <v>1444</v>
      </c>
    </row>
    <row r="535" spans="1:3" x14ac:dyDescent="0.2">
      <c r="A535" s="18" t="s">
        <v>421</v>
      </c>
      <c r="B535" s="20" t="s">
        <v>947</v>
      </c>
      <c r="C535" s="20" t="s">
        <v>1445</v>
      </c>
    </row>
    <row r="536" spans="1:3" x14ac:dyDescent="0.2">
      <c r="A536" s="18" t="s">
        <v>112</v>
      </c>
      <c r="B536" s="20" t="s">
        <v>970</v>
      </c>
      <c r="C536" s="20" t="s">
        <v>1446</v>
      </c>
    </row>
    <row r="537" spans="1:3" x14ac:dyDescent="0.2">
      <c r="A537" s="18" t="s">
        <v>619</v>
      </c>
      <c r="B537" s="20" t="s">
        <v>1075</v>
      </c>
      <c r="C537" s="20" t="s">
        <v>1447</v>
      </c>
    </row>
    <row r="538" spans="1:3" x14ac:dyDescent="0.2">
      <c r="A538" s="18" t="s">
        <v>633</v>
      </c>
      <c r="B538" s="20" t="s">
        <v>1075</v>
      </c>
      <c r="C538" s="20" t="s">
        <v>1374</v>
      </c>
    </row>
    <row r="539" spans="1:3" x14ac:dyDescent="0.2">
      <c r="A539" s="18" t="s">
        <v>596</v>
      </c>
      <c r="B539" s="21" t="s">
        <v>932</v>
      </c>
      <c r="C539" s="20" t="s">
        <v>1448</v>
      </c>
    </row>
    <row r="540" spans="1:3" x14ac:dyDescent="0.2">
      <c r="A540" s="18" t="s">
        <v>419</v>
      </c>
      <c r="B540" s="20" t="s">
        <v>947</v>
      </c>
      <c r="C540" s="20" t="s">
        <v>420</v>
      </c>
    </row>
    <row r="541" spans="1:3" x14ac:dyDescent="0.2">
      <c r="A541" s="18" t="s">
        <v>833</v>
      </c>
      <c r="B541" s="20" t="s">
        <v>947</v>
      </c>
      <c r="C541" s="20" t="s">
        <v>1393</v>
      </c>
    </row>
    <row r="542" spans="1:3" x14ac:dyDescent="0.2">
      <c r="A542" s="18" t="s">
        <v>177</v>
      </c>
      <c r="B542" s="20" t="s">
        <v>970</v>
      </c>
      <c r="C542" s="20" t="s">
        <v>1449</v>
      </c>
    </row>
    <row r="543" spans="1:3" x14ac:dyDescent="0.2">
      <c r="A543" s="18" t="s">
        <v>172</v>
      </c>
      <c r="B543" s="20" t="s">
        <v>970</v>
      </c>
      <c r="C543" s="20" t="s">
        <v>1450</v>
      </c>
    </row>
    <row r="544" spans="1:3" x14ac:dyDescent="0.2">
      <c r="A544" s="19" t="s">
        <v>522</v>
      </c>
      <c r="B544" s="20" t="s">
        <v>1460</v>
      </c>
      <c r="C544" s="27" t="s">
        <v>1451</v>
      </c>
    </row>
    <row r="545" spans="1:3" x14ac:dyDescent="0.2">
      <c r="A545" s="19" t="s">
        <v>829</v>
      </c>
      <c r="B545" s="20" t="s">
        <v>947</v>
      </c>
      <c r="C545" s="27" t="s">
        <v>817</v>
      </c>
    </row>
    <row r="546" spans="1:3" x14ac:dyDescent="0.2">
      <c r="A546" s="19" t="s">
        <v>831</v>
      </c>
      <c r="B546" s="20" t="s">
        <v>947</v>
      </c>
      <c r="C546" s="27" t="s">
        <v>1452</v>
      </c>
    </row>
    <row r="547" spans="1:3" x14ac:dyDescent="0.2">
      <c r="A547" s="19" t="s">
        <v>844</v>
      </c>
      <c r="B547" s="20" t="s">
        <v>947</v>
      </c>
      <c r="C547" s="8" t="s">
        <v>1453</v>
      </c>
    </row>
    <row r="548" spans="1:3" x14ac:dyDescent="0.2">
      <c r="A548" s="19" t="s">
        <v>417</v>
      </c>
      <c r="B548" s="20" t="s">
        <v>1184</v>
      </c>
      <c r="C548" s="9" t="s">
        <v>66</v>
      </c>
    </row>
    <row r="549" spans="1:3" x14ac:dyDescent="0.2">
      <c r="A549" s="19" t="s">
        <v>470</v>
      </c>
      <c r="B549" s="21" t="s">
        <v>932</v>
      </c>
      <c r="C549" s="27" t="s">
        <v>1454</v>
      </c>
    </row>
    <row r="550" spans="1:3" x14ac:dyDescent="0.2">
      <c r="A550" s="19" t="s">
        <v>703</v>
      </c>
      <c r="B550" s="21" t="s">
        <v>932</v>
      </c>
      <c r="C550" s="27" t="s">
        <v>1455</v>
      </c>
    </row>
    <row r="551" spans="1:3" x14ac:dyDescent="0.2">
      <c r="A551" s="19" t="s">
        <v>705</v>
      </c>
      <c r="B551" s="21" t="s">
        <v>932</v>
      </c>
      <c r="C551" s="27" t="s">
        <v>1456</v>
      </c>
    </row>
    <row r="552" spans="1:3" x14ac:dyDescent="0.2">
      <c r="A552" s="19" t="s">
        <v>873</v>
      </c>
      <c r="B552" s="20" t="s">
        <v>1091</v>
      </c>
      <c r="C552" s="27" t="s">
        <v>1457</v>
      </c>
    </row>
    <row r="553" spans="1:3" x14ac:dyDescent="0.2">
      <c r="A553" s="19" t="s">
        <v>472</v>
      </c>
      <c r="B553" s="21" t="s">
        <v>932</v>
      </c>
      <c r="C553" s="27" t="s">
        <v>1458</v>
      </c>
    </row>
    <row r="554" spans="1:3" x14ac:dyDescent="0.2">
      <c r="A554" s="19" t="s">
        <v>468</v>
      </c>
      <c r="B554" s="21" t="s">
        <v>932</v>
      </c>
      <c r="C554" s="27" t="s">
        <v>1459</v>
      </c>
    </row>
    <row r="555" spans="1:3" x14ac:dyDescent="0.2">
      <c r="A555" s="20" t="s">
        <v>455</v>
      </c>
      <c r="B555" s="20" t="s">
        <v>1460</v>
      </c>
      <c r="C555" s="20" t="s">
        <v>1461</v>
      </c>
    </row>
    <row r="556" spans="1:3" x14ac:dyDescent="0.2">
      <c r="A556" s="20" t="s">
        <v>748</v>
      </c>
      <c r="B556" s="20" t="s">
        <v>1460</v>
      </c>
      <c r="C556" s="20" t="s">
        <v>1462</v>
      </c>
    </row>
    <row r="557" spans="1:3" x14ac:dyDescent="0.2">
      <c r="A557" s="20" t="s">
        <v>749</v>
      </c>
      <c r="B557" s="20" t="s">
        <v>1460</v>
      </c>
      <c r="C557" s="20" t="s">
        <v>1463</v>
      </c>
    </row>
    <row r="558" spans="1:3" x14ac:dyDescent="0.2">
      <c r="A558" s="20" t="s">
        <v>602</v>
      </c>
      <c r="B558" s="21" t="s">
        <v>932</v>
      </c>
      <c r="C558" s="20" t="s">
        <v>1464</v>
      </c>
    </row>
    <row r="559" spans="1:3" x14ac:dyDescent="0.2">
      <c r="A559" s="20" t="s">
        <v>605</v>
      </c>
      <c r="B559" s="21" t="s">
        <v>932</v>
      </c>
      <c r="C559" s="20" t="s">
        <v>938</v>
      </c>
    </row>
    <row r="560" spans="1:3" x14ac:dyDescent="0.2">
      <c r="A560" s="20" t="s">
        <v>126</v>
      </c>
      <c r="B560" s="20" t="s">
        <v>970</v>
      </c>
      <c r="C560" s="20" t="s">
        <v>1465</v>
      </c>
    </row>
    <row r="561" spans="1:3" x14ac:dyDescent="0.2">
      <c r="A561" s="20" t="s">
        <v>118</v>
      </c>
      <c r="B561" s="20" t="s">
        <v>970</v>
      </c>
      <c r="C561" s="20" t="s">
        <v>1466</v>
      </c>
    </row>
    <row r="562" spans="1:3" x14ac:dyDescent="0.2">
      <c r="A562" s="20" t="s">
        <v>763</v>
      </c>
      <c r="B562" s="20" t="s">
        <v>1011</v>
      </c>
      <c r="C562" s="20" t="s">
        <v>1467</v>
      </c>
    </row>
    <row r="563" spans="1:3" x14ac:dyDescent="0.2">
      <c r="A563" s="20" t="s">
        <v>758</v>
      </c>
      <c r="B563" s="20" t="s">
        <v>1011</v>
      </c>
      <c r="C563" s="20" t="s">
        <v>1468</v>
      </c>
    </row>
    <row r="564" spans="1:3" x14ac:dyDescent="0.2">
      <c r="A564" s="20" t="s">
        <v>752</v>
      </c>
      <c r="B564" s="20" t="s">
        <v>1011</v>
      </c>
      <c r="C564" s="20" t="s">
        <v>1469</v>
      </c>
    </row>
    <row r="565" spans="1:3" x14ac:dyDescent="0.2">
      <c r="A565" s="20" t="s">
        <v>466</v>
      </c>
      <c r="B565" s="21" t="s">
        <v>932</v>
      </c>
      <c r="C565" s="20" t="s">
        <v>1470</v>
      </c>
    </row>
    <row r="566" spans="1:3" x14ac:dyDescent="0.2">
      <c r="A566" s="20" t="s">
        <v>872</v>
      </c>
      <c r="B566" s="20" t="s">
        <v>1091</v>
      </c>
      <c r="C566" s="20" t="s">
        <v>1471</v>
      </c>
    </row>
    <row r="567" spans="1:3" x14ac:dyDescent="0.2">
      <c r="A567" s="20" t="s">
        <v>874</v>
      </c>
      <c r="B567" s="20" t="s">
        <v>1091</v>
      </c>
      <c r="C567" s="20" t="s">
        <v>1472</v>
      </c>
    </row>
    <row r="568" spans="1:3" x14ac:dyDescent="0.2">
      <c r="A568" s="19" t="s">
        <v>600</v>
      </c>
      <c r="B568" s="21" t="s">
        <v>932</v>
      </c>
      <c r="C568" s="20" t="s">
        <v>283</v>
      </c>
    </row>
    <row r="569" spans="1:3" x14ac:dyDescent="0.2">
      <c r="A569" s="20" t="s">
        <v>799</v>
      </c>
      <c r="B569" s="20" t="s">
        <v>1075</v>
      </c>
      <c r="C569" s="20" t="s">
        <v>254</v>
      </c>
    </row>
    <row r="570" spans="1:3" x14ac:dyDescent="0.2">
      <c r="A570" s="20" t="s">
        <v>800</v>
      </c>
      <c r="B570" s="20" t="s">
        <v>1075</v>
      </c>
      <c r="C570" s="20" t="s">
        <v>801</v>
      </c>
    </row>
    <row r="571" spans="1:3" x14ac:dyDescent="0.2">
      <c r="A571" s="20" t="s">
        <v>120</v>
      </c>
      <c r="B571" s="20" t="s">
        <v>970</v>
      </c>
      <c r="C571" s="20" t="s">
        <v>1473</v>
      </c>
    </row>
    <row r="572" spans="1:3" x14ac:dyDescent="0.2">
      <c r="A572" s="20" t="s">
        <v>753</v>
      </c>
      <c r="B572" s="20" t="s">
        <v>1011</v>
      </c>
      <c r="C572" s="20" t="s">
        <v>1474</v>
      </c>
    </row>
    <row r="573" spans="1:3" x14ac:dyDescent="0.2">
      <c r="A573" s="20" t="s">
        <v>114</v>
      </c>
      <c r="B573" s="20" t="s">
        <v>970</v>
      </c>
      <c r="C573" s="20" t="s">
        <v>1475</v>
      </c>
    </row>
    <row r="574" spans="1:3" x14ac:dyDescent="0.2">
      <c r="A574" s="20" t="s">
        <v>127</v>
      </c>
      <c r="B574" s="20" t="s">
        <v>970</v>
      </c>
      <c r="C574" s="20" t="s">
        <v>1476</v>
      </c>
    </row>
    <row r="575" spans="1:3" x14ac:dyDescent="0.2">
      <c r="A575" s="20" t="s">
        <v>594</v>
      </c>
      <c r="B575" s="21" t="s">
        <v>932</v>
      </c>
      <c r="C575" s="20" t="s">
        <v>254</v>
      </c>
    </row>
    <row r="576" spans="1:3" x14ac:dyDescent="0.2">
      <c r="A576" s="20" t="s">
        <v>273</v>
      </c>
      <c r="B576" s="20" t="s">
        <v>947</v>
      </c>
      <c r="C576" s="20" t="s">
        <v>1477</v>
      </c>
    </row>
    <row r="577" spans="1:3" x14ac:dyDescent="0.2">
      <c r="A577" s="20" t="s">
        <v>866</v>
      </c>
      <c r="B577" s="20" t="s">
        <v>947</v>
      </c>
      <c r="C577" s="20" t="s">
        <v>1478</v>
      </c>
    </row>
    <row r="578" spans="1:3" x14ac:dyDescent="0.2">
      <c r="A578" s="20" t="s">
        <v>867</v>
      </c>
      <c r="B578" s="20" t="s">
        <v>947</v>
      </c>
      <c r="C578" s="20" t="s">
        <v>1479</v>
      </c>
    </row>
    <row r="579" spans="1:3" x14ac:dyDescent="0.2">
      <c r="A579" s="20" t="s">
        <v>591</v>
      </c>
      <c r="B579" s="21" t="s">
        <v>932</v>
      </c>
      <c r="C579" s="20" t="s">
        <v>1480</v>
      </c>
    </row>
    <row r="580" spans="1:3" x14ac:dyDescent="0.2">
      <c r="A580" s="20" t="s">
        <v>159</v>
      </c>
      <c r="B580" s="20" t="s">
        <v>970</v>
      </c>
      <c r="C580" s="20" t="s">
        <v>1481</v>
      </c>
    </row>
    <row r="581" spans="1:3" x14ac:dyDescent="0.2">
      <c r="A581" s="20" t="s">
        <v>166</v>
      </c>
      <c r="B581" s="20" t="s">
        <v>970</v>
      </c>
      <c r="C581" s="20" t="s">
        <v>1482</v>
      </c>
    </row>
    <row r="582" spans="1:3" x14ac:dyDescent="0.2">
      <c r="A582" s="20" t="s">
        <v>871</v>
      </c>
      <c r="B582" s="20" t="s">
        <v>1091</v>
      </c>
      <c r="C582" s="20" t="s">
        <v>1483</v>
      </c>
    </row>
    <row r="583" spans="1:3" x14ac:dyDescent="0.2">
      <c r="A583" s="20" t="s">
        <v>310</v>
      </c>
      <c r="B583" s="21" t="s">
        <v>932</v>
      </c>
      <c r="C583" s="20" t="s">
        <v>1484</v>
      </c>
    </row>
    <row r="584" spans="1:3" x14ac:dyDescent="0.2">
      <c r="A584" s="20" t="s">
        <v>869</v>
      </c>
      <c r="B584" s="20" t="s">
        <v>947</v>
      </c>
      <c r="C584" s="20" t="s">
        <v>1485</v>
      </c>
    </row>
    <row r="585" spans="1:3" x14ac:dyDescent="0.2">
      <c r="A585" s="20" t="s">
        <v>655</v>
      </c>
      <c r="B585" s="21" t="s">
        <v>932</v>
      </c>
      <c r="C585" s="20" t="s">
        <v>1486</v>
      </c>
    </row>
    <row r="586" spans="1:3" x14ac:dyDescent="0.2">
      <c r="A586" s="20" t="s">
        <v>268</v>
      </c>
      <c r="B586" s="20" t="s">
        <v>947</v>
      </c>
      <c r="C586" s="20" t="s">
        <v>1487</v>
      </c>
    </row>
    <row r="587" spans="1:3" x14ac:dyDescent="0.2">
      <c r="A587" s="20" t="s">
        <v>775</v>
      </c>
      <c r="B587" s="20" t="s">
        <v>970</v>
      </c>
      <c r="C587" s="20" t="s">
        <v>1488</v>
      </c>
    </row>
    <row r="588" spans="1:3" x14ac:dyDescent="0.2">
      <c r="A588" s="20" t="s">
        <v>784</v>
      </c>
      <c r="B588" s="20" t="s">
        <v>970</v>
      </c>
      <c r="C588" s="20" t="s">
        <v>1489</v>
      </c>
    </row>
    <row r="589" spans="1:3" x14ac:dyDescent="0.2">
      <c r="A589" s="20" t="s">
        <v>780</v>
      </c>
      <c r="B589" s="20" t="s">
        <v>970</v>
      </c>
      <c r="C589" s="20" t="s">
        <v>1490</v>
      </c>
    </row>
    <row r="590" spans="1:3" x14ac:dyDescent="0.2">
      <c r="A590" s="20" t="s">
        <v>754</v>
      </c>
      <c r="B590" s="20" t="s">
        <v>1011</v>
      </c>
      <c r="C590" s="20" t="s">
        <v>1491</v>
      </c>
    </row>
    <row r="591" spans="1:3" x14ac:dyDescent="0.2">
      <c r="A591" s="20" t="s">
        <v>757</v>
      </c>
      <c r="B591" s="20" t="s">
        <v>1011</v>
      </c>
      <c r="C591" s="20" t="s">
        <v>1492</v>
      </c>
    </row>
    <row r="592" spans="1:3" x14ac:dyDescent="0.2">
      <c r="A592" s="20" t="s">
        <v>171</v>
      </c>
      <c r="B592" s="20" t="s">
        <v>970</v>
      </c>
      <c r="C592" s="20" t="s">
        <v>1493</v>
      </c>
    </row>
    <row r="593" spans="1:3" x14ac:dyDescent="0.2">
      <c r="A593" s="20" t="s">
        <v>158</v>
      </c>
      <c r="B593" s="20" t="s">
        <v>970</v>
      </c>
      <c r="C593" s="20" t="s">
        <v>1494</v>
      </c>
    </row>
    <row r="594" spans="1:3" x14ac:dyDescent="0.2">
      <c r="A594" s="20" t="s">
        <v>176</v>
      </c>
      <c r="B594" s="20" t="s">
        <v>970</v>
      </c>
      <c r="C594" s="20" t="s">
        <v>1495</v>
      </c>
    </row>
    <row r="595" spans="1:3" x14ac:dyDescent="0.2">
      <c r="A595" s="20" t="s">
        <v>165</v>
      </c>
      <c r="B595" s="20" t="s">
        <v>970</v>
      </c>
      <c r="C595" s="20" t="s">
        <v>1496</v>
      </c>
    </row>
    <row r="596" spans="1:3" x14ac:dyDescent="0.2">
      <c r="A596" s="20" t="s">
        <v>794</v>
      </c>
      <c r="B596" s="20" t="s">
        <v>970</v>
      </c>
      <c r="C596" s="20" t="s">
        <v>1581</v>
      </c>
    </row>
    <row r="597" spans="1:3" x14ac:dyDescent="0.2">
      <c r="A597" s="20" t="s">
        <v>789</v>
      </c>
      <c r="B597" s="20" t="s">
        <v>970</v>
      </c>
      <c r="C597" s="20" t="s">
        <v>1544</v>
      </c>
    </row>
    <row r="598" spans="1:3" x14ac:dyDescent="0.2">
      <c r="A598" s="20" t="s">
        <v>191</v>
      </c>
      <c r="B598" s="20" t="s">
        <v>1075</v>
      </c>
      <c r="C598" s="20" t="s">
        <v>1431</v>
      </c>
    </row>
    <row r="599" spans="1:3" x14ac:dyDescent="0.2">
      <c r="A599" s="20" t="s">
        <v>382</v>
      </c>
      <c r="B599" s="21" t="s">
        <v>932</v>
      </c>
      <c r="C599" s="20" t="s">
        <v>1582</v>
      </c>
    </row>
    <row r="600" spans="1:3" x14ac:dyDescent="0.2">
      <c r="A600" s="20" t="s">
        <v>461</v>
      </c>
      <c r="B600" s="21" t="s">
        <v>932</v>
      </c>
      <c r="C600" s="20" t="s">
        <v>1583</v>
      </c>
    </row>
    <row r="601" spans="1:3" x14ac:dyDescent="0.2">
      <c r="A601" s="20" t="s">
        <v>485</v>
      </c>
      <c r="B601" s="21" t="s">
        <v>932</v>
      </c>
      <c r="C601" s="20" t="s">
        <v>287</v>
      </c>
    </row>
    <row r="602" spans="1:3" x14ac:dyDescent="0.2">
      <c r="A602" s="20" t="s">
        <v>700</v>
      </c>
      <c r="B602" s="21" t="s">
        <v>932</v>
      </c>
      <c r="C602" s="20" t="s">
        <v>1584</v>
      </c>
    </row>
    <row r="603" spans="1:3" x14ac:dyDescent="0.2">
      <c r="A603" s="20" t="s">
        <v>387</v>
      </c>
      <c r="B603" s="21" t="s">
        <v>932</v>
      </c>
      <c r="C603" s="20" t="s">
        <v>1585</v>
      </c>
    </row>
    <row r="604" spans="1:3" x14ac:dyDescent="0.2">
      <c r="A604" s="20" t="s">
        <v>597</v>
      </c>
      <c r="B604" s="21" t="s">
        <v>932</v>
      </c>
      <c r="C604" s="20" t="s">
        <v>1586</v>
      </c>
    </row>
    <row r="605" spans="1:3" x14ac:dyDescent="0.2">
      <c r="A605" s="20" t="s">
        <v>482</v>
      </c>
      <c r="B605" s="21" t="s">
        <v>932</v>
      </c>
      <c r="C605" s="20" t="s">
        <v>283</v>
      </c>
    </row>
    <row r="606" spans="1:3" x14ac:dyDescent="0.2">
      <c r="A606" s="20" t="s">
        <v>658</v>
      </c>
      <c r="B606" s="21" t="s">
        <v>932</v>
      </c>
      <c r="C606" s="20" t="s">
        <v>1587</v>
      </c>
    </row>
    <row r="607" spans="1:3" x14ac:dyDescent="0.2">
      <c r="A607" s="20" t="s">
        <v>900</v>
      </c>
      <c r="B607" s="21" t="s">
        <v>1079</v>
      </c>
      <c r="C607" s="20" t="s">
        <v>1588</v>
      </c>
    </row>
    <row r="608" spans="1:3" x14ac:dyDescent="0.2">
      <c r="A608" s="20" t="s">
        <v>314</v>
      </c>
      <c r="B608" s="21" t="s">
        <v>932</v>
      </c>
      <c r="C608" s="20" t="s">
        <v>1589</v>
      </c>
    </row>
    <row r="609" spans="1:3" x14ac:dyDescent="0.2">
      <c r="A609" s="12" t="s">
        <v>298</v>
      </c>
      <c r="B609" s="12" t="s">
        <v>1546</v>
      </c>
      <c r="C609" s="12" t="s">
        <v>240</v>
      </c>
    </row>
    <row r="610" spans="1:3" x14ac:dyDescent="0.2">
      <c r="A610" s="12" t="s">
        <v>299</v>
      </c>
      <c r="B610" s="12" t="s">
        <v>1546</v>
      </c>
      <c r="C610" s="12" t="s">
        <v>241</v>
      </c>
    </row>
    <row r="611" spans="1:3" x14ac:dyDescent="0.2">
      <c r="A611" s="12" t="s">
        <v>301</v>
      </c>
      <c r="B611" s="12" t="s">
        <v>1546</v>
      </c>
      <c r="C611" s="12" t="s">
        <v>241</v>
      </c>
    </row>
    <row r="612" spans="1:3" x14ac:dyDescent="0.2">
      <c r="A612" s="12" t="s">
        <v>305</v>
      </c>
      <c r="B612" s="12" t="s">
        <v>1546</v>
      </c>
      <c r="C612" s="12" t="s">
        <v>302</v>
      </c>
    </row>
    <row r="613" spans="1:3" x14ac:dyDescent="0.2">
      <c r="A613" s="12" t="s">
        <v>307</v>
      </c>
      <c r="B613" s="12" t="s">
        <v>1546</v>
      </c>
      <c r="C613" s="12" t="s">
        <v>229</v>
      </c>
    </row>
    <row r="614" spans="1:3" x14ac:dyDescent="0.2">
      <c r="A614" s="12" t="s">
        <v>309</v>
      </c>
      <c r="B614" s="12" t="s">
        <v>1546</v>
      </c>
      <c r="C614" s="12" t="s">
        <v>229</v>
      </c>
    </row>
    <row r="615" spans="1:3" x14ac:dyDescent="0.2">
      <c r="A615" s="12" t="s">
        <v>326</v>
      </c>
      <c r="B615" s="12" t="s">
        <v>1546</v>
      </c>
      <c r="C615" s="12" t="s">
        <v>324</v>
      </c>
    </row>
    <row r="616" spans="1:3" x14ac:dyDescent="0.2">
      <c r="A616" s="12" t="s">
        <v>879</v>
      </c>
      <c r="B616" s="21" t="s">
        <v>1079</v>
      </c>
      <c r="C616" s="12" t="s">
        <v>880</v>
      </c>
    </row>
    <row r="617" spans="1:3" x14ac:dyDescent="0.2">
      <c r="A617" s="12" t="s">
        <v>515</v>
      </c>
      <c r="B617" s="21" t="s">
        <v>1079</v>
      </c>
      <c r="C617" s="12" t="s">
        <v>516</v>
      </c>
    </row>
    <row r="618" spans="1:3" x14ac:dyDescent="0.2">
      <c r="A618" s="12" t="s">
        <v>536</v>
      </c>
      <c r="B618" s="21" t="s">
        <v>1079</v>
      </c>
      <c r="C618" s="12" t="s">
        <v>537</v>
      </c>
    </row>
    <row r="619" spans="1:3" x14ac:dyDescent="0.2">
      <c r="A619" s="12" t="s">
        <v>518</v>
      </c>
      <c r="B619" s="12" t="s">
        <v>1497</v>
      </c>
      <c r="C619" s="12" t="s">
        <v>359</v>
      </c>
    </row>
    <row r="620" spans="1:3" x14ac:dyDescent="0.2">
      <c r="A620" s="12" t="s">
        <v>521</v>
      </c>
      <c r="B620" s="12" t="s">
        <v>1497</v>
      </c>
      <c r="C620" s="12" t="s">
        <v>1519</v>
      </c>
    </row>
    <row r="621" spans="1:3" x14ac:dyDescent="0.2">
      <c r="A621" s="12" t="s">
        <v>519</v>
      </c>
      <c r="B621" s="12" t="s">
        <v>1497</v>
      </c>
      <c r="C621" s="12" t="s">
        <v>283</v>
      </c>
    </row>
    <row r="622" spans="1:3" x14ac:dyDescent="0.2">
      <c r="A622" s="12" t="s">
        <v>825</v>
      </c>
      <c r="B622" s="12" t="s">
        <v>1497</v>
      </c>
      <c r="C622" s="12" t="s">
        <v>287</v>
      </c>
    </row>
    <row r="623" spans="1:3" x14ac:dyDescent="0.2">
      <c r="A623" s="12" t="s">
        <v>517</v>
      </c>
      <c r="B623" s="12" t="s">
        <v>1497</v>
      </c>
      <c r="C623" s="12" t="s">
        <v>477</v>
      </c>
    </row>
    <row r="624" spans="1:3" x14ac:dyDescent="0.2">
      <c r="A624" s="12" t="s">
        <v>520</v>
      </c>
      <c r="B624" s="12" t="s">
        <v>1497</v>
      </c>
      <c r="C624" s="12" t="s">
        <v>270</v>
      </c>
    </row>
    <row r="625" spans="1:3" x14ac:dyDescent="0.2">
      <c r="A625" s="12" t="s">
        <v>527</v>
      </c>
      <c r="B625" s="12" t="s">
        <v>1497</v>
      </c>
      <c r="C625" s="12" t="s">
        <v>356</v>
      </c>
    </row>
    <row r="626" spans="1:3" x14ac:dyDescent="0.2">
      <c r="A626" s="12" t="s">
        <v>457</v>
      </c>
      <c r="B626" s="12" t="s">
        <v>1497</v>
      </c>
      <c r="C626" s="12" t="s">
        <v>254</v>
      </c>
    </row>
    <row r="627" spans="1:3" x14ac:dyDescent="0.2">
      <c r="A627" s="12" t="s">
        <v>198</v>
      </c>
      <c r="B627" s="12" t="s">
        <v>1498</v>
      </c>
      <c r="C627" s="12" t="s">
        <v>1199</v>
      </c>
    </row>
    <row r="628" spans="1:3" x14ac:dyDescent="0.2">
      <c r="A628" s="12" t="s">
        <v>429</v>
      </c>
      <c r="B628" s="12" t="s">
        <v>1498</v>
      </c>
      <c r="C628" s="12" t="s">
        <v>427</v>
      </c>
    </row>
    <row r="629" spans="1:3" x14ac:dyDescent="0.2">
      <c r="A629" s="12" t="s">
        <v>428</v>
      </c>
      <c r="B629" s="12" t="s">
        <v>1498</v>
      </c>
      <c r="C629" s="12" t="s">
        <v>427</v>
      </c>
    </row>
    <row r="630" spans="1:3" x14ac:dyDescent="0.2">
      <c r="A630" s="12" t="s">
        <v>426</v>
      </c>
      <c r="B630" s="12" t="s">
        <v>1498</v>
      </c>
      <c r="C630" s="12" t="s">
        <v>427</v>
      </c>
    </row>
    <row r="631" spans="1:3" x14ac:dyDescent="0.2">
      <c r="A631" s="12" t="s">
        <v>432</v>
      </c>
      <c r="B631" s="12" t="s">
        <v>1498</v>
      </c>
      <c r="C631" s="12" t="s">
        <v>431</v>
      </c>
    </row>
    <row r="632" spans="1:3" x14ac:dyDescent="0.2">
      <c r="A632" s="12" t="s">
        <v>374</v>
      </c>
      <c r="B632" s="12" t="s">
        <v>1498</v>
      </c>
      <c r="C632" s="12" t="s">
        <v>1520</v>
      </c>
    </row>
    <row r="633" spans="1:3" x14ac:dyDescent="0.2">
      <c r="A633" s="12" t="s">
        <v>634</v>
      </c>
      <c r="B633" s="12" t="s">
        <v>1498</v>
      </c>
      <c r="C633" s="12" t="s">
        <v>635</v>
      </c>
    </row>
    <row r="634" spans="1:3" x14ac:dyDescent="0.2">
      <c r="A634" s="12" t="s">
        <v>636</v>
      </c>
      <c r="B634" s="12" t="s">
        <v>1498</v>
      </c>
      <c r="C634" s="12" t="s">
        <v>635</v>
      </c>
    </row>
    <row r="635" spans="1:3" x14ac:dyDescent="0.2">
      <c r="A635" s="12" t="s">
        <v>637</v>
      </c>
      <c r="B635" s="12" t="s">
        <v>1498</v>
      </c>
      <c r="C635" s="12" t="s">
        <v>1521</v>
      </c>
    </row>
    <row r="636" spans="1:3" x14ac:dyDescent="0.2">
      <c r="A636" s="12" t="s">
        <v>638</v>
      </c>
      <c r="B636" s="12" t="s">
        <v>1498</v>
      </c>
      <c r="C636" s="12" t="s">
        <v>1521</v>
      </c>
    </row>
    <row r="637" spans="1:3" x14ac:dyDescent="0.2">
      <c r="A637" s="12" t="s">
        <v>641</v>
      </c>
      <c r="B637" s="12" t="s">
        <v>1498</v>
      </c>
      <c r="C637" s="12" t="s">
        <v>640</v>
      </c>
    </row>
    <row r="638" spans="1:3" x14ac:dyDescent="0.2">
      <c r="A638" s="12" t="s">
        <v>642</v>
      </c>
      <c r="B638" s="12" t="s">
        <v>1498</v>
      </c>
      <c r="C638" s="12" t="s">
        <v>640</v>
      </c>
    </row>
    <row r="639" spans="1:3" x14ac:dyDescent="0.2">
      <c r="A639" s="12" t="s">
        <v>430</v>
      </c>
      <c r="B639" s="12" t="s">
        <v>1498</v>
      </c>
      <c r="C639" s="12" t="s">
        <v>431</v>
      </c>
    </row>
    <row r="640" spans="1:3" x14ac:dyDescent="0.2">
      <c r="A640" s="12" t="s">
        <v>559</v>
      </c>
      <c r="B640" s="12" t="s">
        <v>1498</v>
      </c>
      <c r="C640" s="12" t="s">
        <v>229</v>
      </c>
    </row>
    <row r="641" spans="1:3" x14ac:dyDescent="0.2">
      <c r="A641" s="12" t="s">
        <v>733</v>
      </c>
      <c r="B641" s="12" t="s">
        <v>1498</v>
      </c>
      <c r="C641" s="12" t="s">
        <v>734</v>
      </c>
    </row>
    <row r="642" spans="1:3" x14ac:dyDescent="0.2">
      <c r="A642" s="12" t="s">
        <v>557</v>
      </c>
      <c r="B642" s="12" t="s">
        <v>1498</v>
      </c>
      <c r="C642" s="12" t="s">
        <v>229</v>
      </c>
    </row>
    <row r="643" spans="1:3" x14ac:dyDescent="0.2">
      <c r="A643" s="12" t="s">
        <v>774</v>
      </c>
      <c r="B643" s="12" t="s">
        <v>1498</v>
      </c>
      <c r="C643" s="12" t="s">
        <v>71</v>
      </c>
    </row>
    <row r="644" spans="1:3" x14ac:dyDescent="0.2">
      <c r="A644" s="12" t="s">
        <v>814</v>
      </c>
      <c r="B644" s="12" t="s">
        <v>1498</v>
      </c>
      <c r="C644" s="12" t="s">
        <v>815</v>
      </c>
    </row>
    <row r="645" spans="1:3" x14ac:dyDescent="0.2">
      <c r="A645" s="12" t="s">
        <v>900</v>
      </c>
      <c r="B645" s="12" t="s">
        <v>1498</v>
      </c>
      <c r="C645" s="12" t="s">
        <v>901</v>
      </c>
    </row>
    <row r="646" spans="1:3" x14ac:dyDescent="0.2">
      <c r="A646" s="12" t="s">
        <v>879</v>
      </c>
      <c r="B646" s="12" t="s">
        <v>1498</v>
      </c>
      <c r="C646" s="12" t="s">
        <v>880</v>
      </c>
    </row>
    <row r="647" spans="1:3" x14ac:dyDescent="0.2">
      <c r="A647" s="12" t="s">
        <v>515</v>
      </c>
      <c r="B647" s="12" t="s">
        <v>1498</v>
      </c>
      <c r="C647" s="12" t="s">
        <v>1590</v>
      </c>
    </row>
    <row r="648" spans="1:3" x14ac:dyDescent="0.2">
      <c r="A648" s="12" t="s">
        <v>536</v>
      </c>
      <c r="B648" s="12" t="s">
        <v>1498</v>
      </c>
      <c r="C648" s="12" t="s">
        <v>1591</v>
      </c>
    </row>
    <row r="649" spans="1:3" x14ac:dyDescent="0.2">
      <c r="A649" s="12" t="s">
        <v>106</v>
      </c>
      <c r="B649" s="12" t="s">
        <v>1498</v>
      </c>
      <c r="C649" s="12" t="s">
        <v>107</v>
      </c>
    </row>
    <row r="650" spans="1:3" x14ac:dyDescent="0.2">
      <c r="A650" s="12" t="s">
        <v>104</v>
      </c>
      <c r="B650" s="12" t="s">
        <v>1498</v>
      </c>
      <c r="C650" s="12" t="s">
        <v>1592</v>
      </c>
    </row>
    <row r="651" spans="1:3" x14ac:dyDescent="0.2">
      <c r="A651" s="12" t="s">
        <v>345</v>
      </c>
      <c r="B651" s="12" t="s">
        <v>1498</v>
      </c>
      <c r="C651" s="12" t="s">
        <v>346</v>
      </c>
    </row>
    <row r="652" spans="1:3" x14ac:dyDescent="0.2">
      <c r="A652" s="12" t="s">
        <v>510</v>
      </c>
      <c r="B652" s="12" t="s">
        <v>1498</v>
      </c>
      <c r="C652" s="12" t="s">
        <v>511</v>
      </c>
    </row>
    <row r="653" spans="1:3" x14ac:dyDescent="0.2">
      <c r="A653" s="12" t="s">
        <v>108</v>
      </c>
      <c r="B653" s="12" t="s">
        <v>1498</v>
      </c>
      <c r="C653" s="12" t="s">
        <v>1593</v>
      </c>
    </row>
    <row r="654" spans="1:3" x14ac:dyDescent="0.2">
      <c r="A654" s="12" t="s">
        <v>877</v>
      </c>
      <c r="B654" s="12" t="s">
        <v>1498</v>
      </c>
      <c r="C654" s="12" t="s">
        <v>878</v>
      </c>
    </row>
    <row r="655" spans="1:3" x14ac:dyDescent="0.2">
      <c r="A655" s="12" t="s">
        <v>219</v>
      </c>
      <c r="B655" s="12" t="s">
        <v>1498</v>
      </c>
      <c r="C655" s="12" t="s">
        <v>220</v>
      </c>
    </row>
    <row r="656" spans="1:3" x14ac:dyDescent="0.2">
      <c r="A656" s="12" t="s">
        <v>215</v>
      </c>
      <c r="B656" s="12" t="s">
        <v>1498</v>
      </c>
      <c r="C656" s="12" t="s">
        <v>216</v>
      </c>
    </row>
    <row r="657" spans="1:3" x14ac:dyDescent="0.2">
      <c r="A657" s="12" t="s">
        <v>217</v>
      </c>
      <c r="B657" s="12" t="s">
        <v>1498</v>
      </c>
      <c r="C657" s="12" t="s">
        <v>218</v>
      </c>
    </row>
    <row r="658" spans="1:3" x14ac:dyDescent="0.2">
      <c r="A658" s="12" t="s">
        <v>744</v>
      </c>
      <c r="B658" s="12" t="s">
        <v>1498</v>
      </c>
      <c r="C658" s="12" t="s">
        <v>745</v>
      </c>
    </row>
    <row r="659" spans="1:3" x14ac:dyDescent="0.2">
      <c r="A659" s="12" t="s">
        <v>142</v>
      </c>
      <c r="B659" s="12" t="s">
        <v>1498</v>
      </c>
      <c r="C659" s="12" t="s">
        <v>143</v>
      </c>
    </row>
    <row r="660" spans="1:3" x14ac:dyDescent="0.2">
      <c r="A660" s="12" t="s">
        <v>513</v>
      </c>
      <c r="B660" s="12" t="s">
        <v>1498</v>
      </c>
      <c r="C660" s="12" t="s">
        <v>514</v>
      </c>
    </row>
    <row r="661" spans="1:3" x14ac:dyDescent="0.2">
      <c r="A661" s="12" t="s">
        <v>746</v>
      </c>
      <c r="B661" s="12" t="s">
        <v>1498</v>
      </c>
      <c r="C661" s="12" t="s">
        <v>747</v>
      </c>
    </row>
    <row r="662" spans="1:3" x14ac:dyDescent="0.2">
      <c r="A662" s="12" t="s">
        <v>98</v>
      </c>
      <c r="B662" s="12" t="s">
        <v>1498</v>
      </c>
      <c r="C662" s="12" t="s">
        <v>1594</v>
      </c>
    </row>
    <row r="663" spans="1:3" x14ac:dyDescent="0.2">
      <c r="A663" s="12" t="s">
        <v>99</v>
      </c>
      <c r="B663" s="12" t="s">
        <v>1498</v>
      </c>
      <c r="C663" s="12" t="s">
        <v>100</v>
      </c>
    </row>
    <row r="664" spans="1:3" x14ac:dyDescent="0.2">
      <c r="A664" s="12" t="s">
        <v>669</v>
      </c>
      <c r="B664" s="12" t="s">
        <v>1499</v>
      </c>
      <c r="C664" s="12" t="s">
        <v>368</v>
      </c>
    </row>
    <row r="665" spans="1:3" x14ac:dyDescent="0.2">
      <c r="A665" s="12" t="s">
        <v>670</v>
      </c>
      <c r="B665" s="12" t="s">
        <v>1499</v>
      </c>
      <c r="C665" s="12" t="s">
        <v>369</v>
      </c>
    </row>
    <row r="666" spans="1:3" x14ac:dyDescent="0.2">
      <c r="A666" s="12" t="s">
        <v>709</v>
      </c>
      <c r="B666" s="12" t="s">
        <v>1499</v>
      </c>
      <c r="C666" s="12" t="s">
        <v>1522</v>
      </c>
    </row>
    <row r="667" spans="1:3" x14ac:dyDescent="0.2">
      <c r="A667" s="12" t="s">
        <v>707</v>
      </c>
      <c r="B667" s="12" t="s">
        <v>1499</v>
      </c>
      <c r="C667" s="12" t="s">
        <v>708</v>
      </c>
    </row>
    <row r="668" spans="1:3" x14ac:dyDescent="0.2">
      <c r="A668" s="12" t="s">
        <v>689</v>
      </c>
      <c r="B668" s="12" t="s">
        <v>1499</v>
      </c>
      <c r="C668" s="12" t="s">
        <v>690</v>
      </c>
    </row>
    <row r="669" spans="1:3" x14ac:dyDescent="0.2">
      <c r="A669" s="12" t="s">
        <v>847</v>
      </c>
      <c r="B669" s="12" t="s">
        <v>1499</v>
      </c>
      <c r="C669" s="12" t="s">
        <v>241</v>
      </c>
    </row>
    <row r="670" spans="1:3" x14ac:dyDescent="0.2">
      <c r="A670" s="12" t="s">
        <v>845</v>
      </c>
      <c r="B670" s="12" t="s">
        <v>1499</v>
      </c>
      <c r="C670" s="12" t="s">
        <v>241</v>
      </c>
    </row>
    <row r="671" spans="1:3" x14ac:dyDescent="0.2">
      <c r="A671" s="12" t="s">
        <v>41</v>
      </c>
      <c r="B671" s="12" t="s">
        <v>1500</v>
      </c>
      <c r="C671" s="12" t="s">
        <v>42</v>
      </c>
    </row>
    <row r="672" spans="1:3" x14ac:dyDescent="0.2">
      <c r="A672" s="12" t="s">
        <v>80</v>
      </c>
      <c r="B672" s="12" t="s">
        <v>1500</v>
      </c>
      <c r="C672" s="12" t="s">
        <v>48</v>
      </c>
    </row>
    <row r="673" spans="1:3" x14ac:dyDescent="0.2">
      <c r="A673" s="12" t="s">
        <v>45</v>
      </c>
      <c r="B673" s="28" t="s">
        <v>1116</v>
      </c>
      <c r="C673" s="12" t="s">
        <v>42</v>
      </c>
    </row>
    <row r="674" spans="1:3" x14ac:dyDescent="0.2">
      <c r="A674" s="12" t="s">
        <v>135</v>
      </c>
      <c r="B674" s="28" t="s">
        <v>1116</v>
      </c>
      <c r="C674" s="12" t="s">
        <v>42</v>
      </c>
    </row>
    <row r="675" spans="1:3" x14ac:dyDescent="0.2">
      <c r="A675" s="12" t="s">
        <v>47</v>
      </c>
      <c r="B675" s="28" t="s">
        <v>1116</v>
      </c>
      <c r="C675" s="12" t="s">
        <v>1523</v>
      </c>
    </row>
    <row r="676" spans="1:3" x14ac:dyDescent="0.2">
      <c r="A676" s="12" t="s">
        <v>277</v>
      </c>
      <c r="B676" s="28" t="s">
        <v>1116</v>
      </c>
      <c r="C676" s="12" t="s">
        <v>51</v>
      </c>
    </row>
    <row r="677" spans="1:3" x14ac:dyDescent="0.2">
      <c r="A677" s="12" t="s">
        <v>222</v>
      </c>
      <c r="B677" s="28" t="s">
        <v>1116</v>
      </c>
      <c r="C677" s="12" t="s">
        <v>223</v>
      </c>
    </row>
    <row r="678" spans="1:3" x14ac:dyDescent="0.2">
      <c r="A678" s="12" t="s">
        <v>221</v>
      </c>
      <c r="B678" s="28" t="s">
        <v>1116</v>
      </c>
      <c r="C678" s="12" t="s">
        <v>56</v>
      </c>
    </row>
    <row r="679" spans="1:3" x14ac:dyDescent="0.2">
      <c r="A679" s="12" t="s">
        <v>538</v>
      </c>
      <c r="B679" s="28" t="s">
        <v>1116</v>
      </c>
      <c r="C679" s="12" t="s">
        <v>240</v>
      </c>
    </row>
    <row r="680" spans="1:3" x14ac:dyDescent="0.2">
      <c r="A680" s="12" t="s">
        <v>340</v>
      </c>
      <c r="B680" s="28" t="s">
        <v>1116</v>
      </c>
      <c r="C680" s="12" t="s">
        <v>229</v>
      </c>
    </row>
    <row r="681" spans="1:3" x14ac:dyDescent="0.2">
      <c r="A681" s="12" t="s">
        <v>341</v>
      </c>
      <c r="B681" s="28" t="s">
        <v>1116</v>
      </c>
      <c r="C681" s="12" t="s">
        <v>324</v>
      </c>
    </row>
    <row r="682" spans="1:3" x14ac:dyDescent="0.2">
      <c r="A682" s="12" t="s">
        <v>552</v>
      </c>
      <c r="B682" s="28" t="s">
        <v>1116</v>
      </c>
      <c r="C682" s="12" t="s">
        <v>241</v>
      </c>
    </row>
    <row r="683" spans="1:3" x14ac:dyDescent="0.2">
      <c r="A683" s="12" t="s">
        <v>875</v>
      </c>
      <c r="B683" s="28" t="s">
        <v>1116</v>
      </c>
      <c r="C683" s="12" t="s">
        <v>876</v>
      </c>
    </row>
    <row r="684" spans="1:3" x14ac:dyDescent="0.2">
      <c r="A684" s="12" t="s">
        <v>34</v>
      </c>
      <c r="B684" s="21" t="s">
        <v>932</v>
      </c>
      <c r="C684" s="12" t="s">
        <v>33</v>
      </c>
    </row>
    <row r="685" spans="1:3" x14ac:dyDescent="0.2">
      <c r="A685" s="12" t="s">
        <v>39</v>
      </c>
      <c r="B685" s="21" t="s">
        <v>932</v>
      </c>
      <c r="C685" s="12" t="s">
        <v>38</v>
      </c>
    </row>
    <row r="686" spans="1:3" x14ac:dyDescent="0.2">
      <c r="A686" s="12" t="s">
        <v>387</v>
      </c>
      <c r="B686" s="21" t="s">
        <v>932</v>
      </c>
      <c r="C686" s="12" t="s">
        <v>1267</v>
      </c>
    </row>
    <row r="687" spans="1:3" x14ac:dyDescent="0.2">
      <c r="A687" s="12" t="s">
        <v>312</v>
      </c>
      <c r="B687" s="21" t="s">
        <v>932</v>
      </c>
      <c r="C687" s="12" t="s">
        <v>311</v>
      </c>
    </row>
    <row r="688" spans="1:3" x14ac:dyDescent="0.2">
      <c r="A688" s="12" t="s">
        <v>310</v>
      </c>
      <c r="B688" s="21" t="s">
        <v>932</v>
      </c>
      <c r="C688" s="12" t="s">
        <v>311</v>
      </c>
    </row>
    <row r="689" spans="1:3" x14ac:dyDescent="0.2">
      <c r="A689" s="12" t="s">
        <v>382</v>
      </c>
      <c r="B689" s="21" t="s">
        <v>932</v>
      </c>
      <c r="C689" s="12" t="s">
        <v>1524</v>
      </c>
    </row>
    <row r="690" spans="1:3" x14ac:dyDescent="0.2">
      <c r="A690" s="12" t="s">
        <v>314</v>
      </c>
      <c r="B690" s="21" t="s">
        <v>932</v>
      </c>
      <c r="C690" s="12" t="s">
        <v>315</v>
      </c>
    </row>
    <row r="691" spans="1:3" x14ac:dyDescent="0.2">
      <c r="A691" s="12" t="s">
        <v>608</v>
      </c>
      <c r="B691" s="21" t="s">
        <v>932</v>
      </c>
      <c r="C691" s="12" t="s">
        <v>561</v>
      </c>
    </row>
    <row r="692" spans="1:3" x14ac:dyDescent="0.2">
      <c r="A692" s="12" t="s">
        <v>572</v>
      </c>
      <c r="B692" s="21" t="s">
        <v>932</v>
      </c>
      <c r="C692" s="12" t="s">
        <v>562</v>
      </c>
    </row>
    <row r="693" spans="1:3" x14ac:dyDescent="0.2">
      <c r="A693" s="12" t="s">
        <v>590</v>
      </c>
      <c r="B693" s="21" t="s">
        <v>932</v>
      </c>
      <c r="C693" s="12" t="s">
        <v>1525</v>
      </c>
    </row>
    <row r="694" spans="1:3" x14ac:dyDescent="0.2">
      <c r="A694" s="12" t="s">
        <v>587</v>
      </c>
      <c r="B694" s="21" t="s">
        <v>932</v>
      </c>
      <c r="C694" s="12" t="s">
        <v>444</v>
      </c>
    </row>
    <row r="695" spans="1:3" x14ac:dyDescent="0.2">
      <c r="A695" s="12" t="s">
        <v>653</v>
      </c>
      <c r="B695" s="21" t="s">
        <v>932</v>
      </c>
      <c r="C695" s="12" t="s">
        <v>544</v>
      </c>
    </row>
    <row r="696" spans="1:3" x14ac:dyDescent="0.2">
      <c r="A696" s="12" t="s">
        <v>476</v>
      </c>
      <c r="B696" s="21" t="s">
        <v>932</v>
      </c>
      <c r="C696" s="12" t="s">
        <v>477</v>
      </c>
    </row>
    <row r="697" spans="1:3" x14ac:dyDescent="0.2">
      <c r="A697" s="12" t="s">
        <v>473</v>
      </c>
      <c r="B697" s="21" t="s">
        <v>932</v>
      </c>
      <c r="C697" s="12" t="s">
        <v>444</v>
      </c>
    </row>
    <row r="698" spans="1:3" x14ac:dyDescent="0.2">
      <c r="A698" s="12" t="s">
        <v>479</v>
      </c>
      <c r="B698" s="21" t="s">
        <v>932</v>
      </c>
      <c r="C698" s="12" t="s">
        <v>254</v>
      </c>
    </row>
    <row r="699" spans="1:3" x14ac:dyDescent="0.2">
      <c r="A699" s="12" t="s">
        <v>714</v>
      </c>
      <c r="B699" s="21" t="s">
        <v>932</v>
      </c>
      <c r="C699" s="12" t="s">
        <v>1138</v>
      </c>
    </row>
    <row r="700" spans="1:3" x14ac:dyDescent="0.2">
      <c r="A700" s="12" t="s">
        <v>703</v>
      </c>
      <c r="B700" s="21" t="s">
        <v>932</v>
      </c>
      <c r="C700" s="12" t="s">
        <v>459</v>
      </c>
    </row>
    <row r="701" spans="1:3" x14ac:dyDescent="0.2">
      <c r="A701" s="12" t="s">
        <v>704</v>
      </c>
      <c r="B701" s="21" t="s">
        <v>932</v>
      </c>
      <c r="C701" s="12" t="s">
        <v>699</v>
      </c>
    </row>
    <row r="702" spans="1:3" x14ac:dyDescent="0.2">
      <c r="A702" s="12" t="s">
        <v>705</v>
      </c>
      <c r="B702" s="21" t="s">
        <v>932</v>
      </c>
      <c r="C702" s="12" t="s">
        <v>699</v>
      </c>
    </row>
    <row r="703" spans="1:3" x14ac:dyDescent="0.2">
      <c r="A703" s="12" t="s">
        <v>589</v>
      </c>
      <c r="B703" s="21" t="s">
        <v>932</v>
      </c>
      <c r="C703" s="12" t="s">
        <v>411</v>
      </c>
    </row>
    <row r="704" spans="1:3" x14ac:dyDescent="0.2">
      <c r="A704" s="12" t="s">
        <v>606</v>
      </c>
      <c r="B704" s="21" t="s">
        <v>932</v>
      </c>
      <c r="C704" s="12" t="s">
        <v>356</v>
      </c>
    </row>
    <row r="705" spans="1:3" x14ac:dyDescent="0.2">
      <c r="A705" s="12" t="s">
        <v>474</v>
      </c>
      <c r="B705" s="21" t="s">
        <v>932</v>
      </c>
      <c r="C705" s="12" t="s">
        <v>411</v>
      </c>
    </row>
    <row r="706" spans="1:3" x14ac:dyDescent="0.2">
      <c r="A706" s="12" t="s">
        <v>460</v>
      </c>
      <c r="B706" s="21" t="s">
        <v>932</v>
      </c>
      <c r="C706" s="12" t="s">
        <v>459</v>
      </c>
    </row>
    <row r="707" spans="1:3" x14ac:dyDescent="0.2">
      <c r="A707" s="12" t="s">
        <v>461</v>
      </c>
      <c r="B707" s="21" t="s">
        <v>932</v>
      </c>
      <c r="C707" s="12" t="s">
        <v>459</v>
      </c>
    </row>
    <row r="708" spans="1:3" x14ac:dyDescent="0.2">
      <c r="A708" s="12" t="s">
        <v>484</v>
      </c>
      <c r="B708" s="21" t="s">
        <v>932</v>
      </c>
      <c r="C708" s="12" t="s">
        <v>287</v>
      </c>
    </row>
    <row r="709" spans="1:3" x14ac:dyDescent="0.2">
      <c r="A709" s="12" t="s">
        <v>485</v>
      </c>
      <c r="B709" s="21" t="s">
        <v>932</v>
      </c>
      <c r="C709" s="12" t="s">
        <v>287</v>
      </c>
    </row>
    <row r="710" spans="1:3" x14ac:dyDescent="0.2">
      <c r="A710" s="12" t="s">
        <v>489</v>
      </c>
      <c r="B710" s="21" t="s">
        <v>932</v>
      </c>
      <c r="C710" s="12" t="s">
        <v>488</v>
      </c>
    </row>
    <row r="711" spans="1:3" x14ac:dyDescent="0.2">
      <c r="A711" s="12" t="s">
        <v>482</v>
      </c>
      <c r="B711" s="21" t="s">
        <v>932</v>
      </c>
      <c r="C711" s="12" t="s">
        <v>283</v>
      </c>
    </row>
    <row r="712" spans="1:3" x14ac:dyDescent="0.2">
      <c r="A712" s="12" t="s">
        <v>678</v>
      </c>
      <c r="B712" s="21" t="s">
        <v>932</v>
      </c>
      <c r="C712" s="12" t="s">
        <v>1526</v>
      </c>
    </row>
    <row r="713" spans="1:3" x14ac:dyDescent="0.2">
      <c r="A713" s="12" t="s">
        <v>491</v>
      </c>
      <c r="B713" s="21" t="s">
        <v>932</v>
      </c>
      <c r="C713" s="12" t="s">
        <v>356</v>
      </c>
    </row>
    <row r="714" spans="1:3" x14ac:dyDescent="0.2">
      <c r="A714" s="12" t="s">
        <v>610</v>
      </c>
      <c r="B714" s="21" t="s">
        <v>932</v>
      </c>
      <c r="C714" s="12" t="s">
        <v>941</v>
      </c>
    </row>
    <row r="715" spans="1:3" x14ac:dyDescent="0.2">
      <c r="A715" s="12" t="s">
        <v>717</v>
      </c>
      <c r="B715" s="21" t="s">
        <v>932</v>
      </c>
      <c r="C715" s="12" t="s">
        <v>1527</v>
      </c>
    </row>
    <row r="716" spans="1:3" x14ac:dyDescent="0.2">
      <c r="A716" s="12" t="s">
        <v>649</v>
      </c>
      <c r="B716" s="21" t="s">
        <v>932</v>
      </c>
      <c r="C716" s="12" t="s">
        <v>650</v>
      </c>
    </row>
    <row r="717" spans="1:3" x14ac:dyDescent="0.2">
      <c r="A717" s="12" t="s">
        <v>597</v>
      </c>
      <c r="B717" s="21" t="s">
        <v>932</v>
      </c>
      <c r="C717" s="12" t="s">
        <v>254</v>
      </c>
    </row>
    <row r="718" spans="1:3" x14ac:dyDescent="0.2">
      <c r="A718" s="12" t="s">
        <v>658</v>
      </c>
      <c r="B718" s="21" t="s">
        <v>932</v>
      </c>
      <c r="C718" s="12" t="s">
        <v>544</v>
      </c>
    </row>
    <row r="719" spans="1:3" x14ac:dyDescent="0.2">
      <c r="A719" s="12" t="s">
        <v>470</v>
      </c>
      <c r="B719" s="21" t="s">
        <v>932</v>
      </c>
      <c r="C719" s="12" t="s">
        <v>315</v>
      </c>
    </row>
    <row r="720" spans="1:3" x14ac:dyDescent="0.2">
      <c r="A720" s="12" t="s">
        <v>712</v>
      </c>
      <c r="B720" s="21" t="s">
        <v>932</v>
      </c>
      <c r="C720" s="12" t="s">
        <v>713</v>
      </c>
    </row>
    <row r="721" spans="1:3" x14ac:dyDescent="0.2">
      <c r="A721" s="12" t="s">
        <v>472</v>
      </c>
      <c r="B721" s="21" t="s">
        <v>932</v>
      </c>
      <c r="C721" s="12" t="s">
        <v>343</v>
      </c>
    </row>
    <row r="722" spans="1:3" x14ac:dyDescent="0.2">
      <c r="A722" s="12" t="s">
        <v>468</v>
      </c>
      <c r="B722" s="21" t="s">
        <v>932</v>
      </c>
      <c r="C722" s="12" t="s">
        <v>311</v>
      </c>
    </row>
    <row r="723" spans="1:3" x14ac:dyDescent="0.2">
      <c r="A723" s="12" t="s">
        <v>466</v>
      </c>
      <c r="B723" s="21" t="s">
        <v>932</v>
      </c>
      <c r="C723" s="12" t="s">
        <v>321</v>
      </c>
    </row>
    <row r="724" spans="1:3" x14ac:dyDescent="0.2">
      <c r="A724" s="12" t="s">
        <v>700</v>
      </c>
      <c r="B724" s="21" t="s">
        <v>932</v>
      </c>
      <c r="C724" s="12" t="s">
        <v>699</v>
      </c>
    </row>
    <row r="725" spans="1:3" x14ac:dyDescent="0.2">
      <c r="A725" s="12" t="s">
        <v>602</v>
      </c>
      <c r="B725" s="21" t="s">
        <v>932</v>
      </c>
      <c r="C725" s="12" t="s">
        <v>287</v>
      </c>
    </row>
    <row r="726" spans="1:3" x14ac:dyDescent="0.2">
      <c r="A726" s="12" t="s">
        <v>605</v>
      </c>
      <c r="B726" s="21" t="s">
        <v>932</v>
      </c>
      <c r="C726" s="12" t="s">
        <v>488</v>
      </c>
    </row>
    <row r="727" spans="1:3" x14ac:dyDescent="0.2">
      <c r="A727" s="12" t="s">
        <v>600</v>
      </c>
      <c r="B727" s="21" t="s">
        <v>932</v>
      </c>
      <c r="C727" s="12" t="s">
        <v>283</v>
      </c>
    </row>
    <row r="728" spans="1:3" x14ac:dyDescent="0.2">
      <c r="A728" s="12" t="s">
        <v>594</v>
      </c>
      <c r="B728" s="21" t="s">
        <v>932</v>
      </c>
      <c r="C728" s="12" t="s">
        <v>254</v>
      </c>
    </row>
    <row r="729" spans="1:3" x14ac:dyDescent="0.2">
      <c r="A729" s="12" t="s">
        <v>591</v>
      </c>
      <c r="B729" s="21" t="s">
        <v>932</v>
      </c>
      <c r="C729" s="12" t="s">
        <v>477</v>
      </c>
    </row>
    <row r="730" spans="1:3" x14ac:dyDescent="0.2">
      <c r="A730" s="12" t="s">
        <v>533</v>
      </c>
      <c r="B730" s="12" t="s">
        <v>1501</v>
      </c>
      <c r="C730" s="12" t="s">
        <v>287</v>
      </c>
    </row>
    <row r="731" spans="1:3" x14ac:dyDescent="0.2">
      <c r="A731" s="12" t="s">
        <v>532</v>
      </c>
      <c r="B731" s="12" t="s">
        <v>1501</v>
      </c>
      <c r="C731" s="12" t="s">
        <v>359</v>
      </c>
    </row>
    <row r="732" spans="1:3" x14ac:dyDescent="0.2">
      <c r="A732" s="12" t="s">
        <v>454</v>
      </c>
      <c r="B732" s="12" t="s">
        <v>1501</v>
      </c>
      <c r="C732" s="12" t="s">
        <v>1528</v>
      </c>
    </row>
    <row r="733" spans="1:3" x14ac:dyDescent="0.2">
      <c r="A733" s="12" t="s">
        <v>525</v>
      </c>
      <c r="B733" s="12" t="s">
        <v>1501</v>
      </c>
      <c r="C733" s="12" t="s">
        <v>356</v>
      </c>
    </row>
    <row r="734" spans="1:3" x14ac:dyDescent="0.2">
      <c r="A734" s="12" t="s">
        <v>675</v>
      </c>
      <c r="B734" s="12" t="s">
        <v>1501</v>
      </c>
      <c r="C734" s="12" t="s">
        <v>544</v>
      </c>
    </row>
    <row r="735" spans="1:3" x14ac:dyDescent="0.2">
      <c r="A735" s="12" t="s">
        <v>676</v>
      </c>
      <c r="B735" s="12" t="s">
        <v>1501</v>
      </c>
      <c r="C735" s="12" t="s">
        <v>677</v>
      </c>
    </row>
    <row r="736" spans="1:3" x14ac:dyDescent="0.2">
      <c r="A736" s="12" t="s">
        <v>455</v>
      </c>
      <c r="B736" s="12" t="s">
        <v>1502</v>
      </c>
      <c r="C736" s="12" t="s">
        <v>254</v>
      </c>
    </row>
    <row r="737" spans="1:3" x14ac:dyDescent="0.2">
      <c r="A737" s="12" t="s">
        <v>748</v>
      </c>
      <c r="B737" s="12" t="s">
        <v>1460</v>
      </c>
      <c r="C737" s="12" t="s">
        <v>1462</v>
      </c>
    </row>
    <row r="738" spans="1:3" x14ac:dyDescent="0.2">
      <c r="A738" s="12" t="s">
        <v>749</v>
      </c>
      <c r="B738" s="12" t="s">
        <v>1460</v>
      </c>
      <c r="C738" s="12" t="s">
        <v>1463</v>
      </c>
    </row>
    <row r="739" spans="1:3" x14ac:dyDescent="0.2">
      <c r="A739" s="12" t="s">
        <v>524</v>
      </c>
      <c r="B739" s="12" t="s">
        <v>1460</v>
      </c>
      <c r="C739" s="12" t="s">
        <v>1443</v>
      </c>
    </row>
    <row r="740" spans="1:3" x14ac:dyDescent="0.2">
      <c r="A740" s="12" t="s">
        <v>541</v>
      </c>
      <c r="B740" s="12" t="s">
        <v>1460</v>
      </c>
      <c r="C740" s="12" t="s">
        <v>1444</v>
      </c>
    </row>
    <row r="741" spans="1:3" x14ac:dyDescent="0.2">
      <c r="A741" s="12" t="s">
        <v>522</v>
      </c>
      <c r="B741" s="12" t="s">
        <v>1460</v>
      </c>
      <c r="C741" s="12" t="s">
        <v>477</v>
      </c>
    </row>
    <row r="742" spans="1:3" x14ac:dyDescent="0.2">
      <c r="A742" s="12" t="s">
        <v>103</v>
      </c>
      <c r="B742" s="12" t="s">
        <v>1503</v>
      </c>
      <c r="C742" s="12" t="s">
        <v>102</v>
      </c>
    </row>
    <row r="743" spans="1:3" x14ac:dyDescent="0.2">
      <c r="A743" s="12" t="s">
        <v>652</v>
      </c>
      <c r="B743" s="12" t="s">
        <v>1503</v>
      </c>
      <c r="C743" s="12" t="s">
        <v>281</v>
      </c>
    </row>
    <row r="744" spans="1:3" x14ac:dyDescent="0.2">
      <c r="A744" s="12" t="s">
        <v>763</v>
      </c>
      <c r="B744" s="12" t="s">
        <v>1503</v>
      </c>
      <c r="C744" s="12" t="s">
        <v>281</v>
      </c>
    </row>
    <row r="745" spans="1:3" x14ac:dyDescent="0.2">
      <c r="A745" s="12" t="s">
        <v>758</v>
      </c>
      <c r="B745" s="12" t="s">
        <v>1503</v>
      </c>
      <c r="C745" s="12" t="s">
        <v>1529</v>
      </c>
    </row>
    <row r="746" spans="1:3" x14ac:dyDescent="0.2">
      <c r="A746" s="12" t="s">
        <v>757</v>
      </c>
      <c r="B746" s="12" t="s">
        <v>1503</v>
      </c>
      <c r="C746" s="12" t="s">
        <v>1529</v>
      </c>
    </row>
    <row r="747" spans="1:3" x14ac:dyDescent="0.2">
      <c r="A747" s="12" t="s">
        <v>753</v>
      </c>
      <c r="B747" s="12" t="s">
        <v>1503</v>
      </c>
      <c r="C747" s="12" t="s">
        <v>767</v>
      </c>
    </row>
    <row r="748" spans="1:3" x14ac:dyDescent="0.2">
      <c r="A748" s="12" t="s">
        <v>754</v>
      </c>
      <c r="B748" s="12" t="s">
        <v>1503</v>
      </c>
      <c r="C748" s="12" t="s">
        <v>767</v>
      </c>
    </row>
    <row r="749" spans="1:3" x14ac:dyDescent="0.2">
      <c r="A749" s="12" t="s">
        <v>752</v>
      </c>
      <c r="B749" s="12" t="s">
        <v>1503</v>
      </c>
      <c r="C749" s="12" t="s">
        <v>767</v>
      </c>
    </row>
    <row r="750" spans="1:3" x14ac:dyDescent="0.2">
      <c r="A750" s="12" t="s">
        <v>149</v>
      </c>
      <c r="B750" s="12" t="s">
        <v>1504</v>
      </c>
      <c r="C750" s="12" t="s">
        <v>150</v>
      </c>
    </row>
    <row r="751" spans="1:3" x14ac:dyDescent="0.2">
      <c r="A751" s="12" t="s">
        <v>151</v>
      </c>
      <c r="B751" s="12" t="s">
        <v>1504</v>
      </c>
      <c r="C751" s="12" t="s">
        <v>152</v>
      </c>
    </row>
    <row r="752" spans="1:3" x14ac:dyDescent="0.2">
      <c r="A752" s="12" t="s">
        <v>145</v>
      </c>
      <c r="B752" s="12" t="s">
        <v>1504</v>
      </c>
      <c r="C752" s="12" t="s">
        <v>146</v>
      </c>
    </row>
    <row r="753" spans="1:3" x14ac:dyDescent="0.2">
      <c r="A753" s="12" t="s">
        <v>147</v>
      </c>
      <c r="B753" s="12" t="s">
        <v>1504</v>
      </c>
      <c r="C753" s="12" t="s">
        <v>148</v>
      </c>
    </row>
    <row r="754" spans="1:3" x14ac:dyDescent="0.2">
      <c r="A754" s="12" t="s">
        <v>200</v>
      </c>
      <c r="B754" s="12" t="s">
        <v>1504</v>
      </c>
      <c r="C754" s="12" t="s">
        <v>72</v>
      </c>
    </row>
    <row r="755" spans="1:3" x14ac:dyDescent="0.2">
      <c r="A755" s="12" t="s">
        <v>318</v>
      </c>
      <c r="B755" s="12" t="s">
        <v>1504</v>
      </c>
      <c r="C755" s="12" t="s">
        <v>311</v>
      </c>
    </row>
    <row r="756" spans="1:3" x14ac:dyDescent="0.2">
      <c r="A756" s="12" t="s">
        <v>342</v>
      </c>
      <c r="B756" s="12" t="s">
        <v>1504</v>
      </c>
      <c r="C756" s="12" t="s">
        <v>1530</v>
      </c>
    </row>
    <row r="757" spans="1:3" x14ac:dyDescent="0.2">
      <c r="A757" s="12" t="s">
        <v>344</v>
      </c>
      <c r="B757" s="12" t="s">
        <v>1504</v>
      </c>
      <c r="C757" s="12" t="s">
        <v>1530</v>
      </c>
    </row>
    <row r="758" spans="1:3" x14ac:dyDescent="0.2">
      <c r="A758" s="12" t="s">
        <v>320</v>
      </c>
      <c r="B758" s="12" t="s">
        <v>1504</v>
      </c>
      <c r="C758" s="12" t="s">
        <v>321</v>
      </c>
    </row>
    <row r="759" spans="1:3" x14ac:dyDescent="0.2">
      <c r="A759" s="12" t="s">
        <v>570</v>
      </c>
      <c r="B759" s="12" t="s">
        <v>1504</v>
      </c>
      <c r="C759" s="12" t="s">
        <v>562</v>
      </c>
    </row>
    <row r="760" spans="1:3" x14ac:dyDescent="0.2">
      <c r="A760" s="12" t="s">
        <v>569</v>
      </c>
      <c r="B760" s="12" t="s">
        <v>1504</v>
      </c>
      <c r="C760" s="12" t="s">
        <v>561</v>
      </c>
    </row>
    <row r="761" spans="1:3" x14ac:dyDescent="0.2">
      <c r="A761" s="12" t="s">
        <v>463</v>
      </c>
      <c r="B761" s="12" t="s">
        <v>1504</v>
      </c>
      <c r="C761" s="12" t="s">
        <v>459</v>
      </c>
    </row>
    <row r="762" spans="1:3" x14ac:dyDescent="0.2">
      <c r="A762" s="12" t="s">
        <v>854</v>
      </c>
      <c r="B762" s="12" t="s">
        <v>1504</v>
      </c>
      <c r="C762" s="12" t="s">
        <v>1434</v>
      </c>
    </row>
    <row r="763" spans="1:3" x14ac:dyDescent="0.2">
      <c r="A763" s="12" t="s">
        <v>873</v>
      </c>
      <c r="B763" s="12" t="s">
        <v>1504</v>
      </c>
      <c r="C763" s="12" t="s">
        <v>343</v>
      </c>
    </row>
    <row r="764" spans="1:3" x14ac:dyDescent="0.2">
      <c r="A764" s="12" t="s">
        <v>872</v>
      </c>
      <c r="B764" s="12" t="s">
        <v>1504</v>
      </c>
      <c r="C764" s="12" t="s">
        <v>321</v>
      </c>
    </row>
    <row r="765" spans="1:3" x14ac:dyDescent="0.2">
      <c r="A765" s="12" t="s">
        <v>874</v>
      </c>
      <c r="B765" s="12" t="s">
        <v>1504</v>
      </c>
      <c r="C765" s="12" t="s">
        <v>459</v>
      </c>
    </row>
    <row r="766" spans="1:3" x14ac:dyDescent="0.2">
      <c r="A766" s="12" t="s">
        <v>871</v>
      </c>
      <c r="B766" s="12" t="s">
        <v>1504</v>
      </c>
      <c r="C766" s="12" t="s">
        <v>1483</v>
      </c>
    </row>
    <row r="767" spans="1:3" x14ac:dyDescent="0.2">
      <c r="A767" s="12" t="s">
        <v>319</v>
      </c>
      <c r="B767" s="12" t="s">
        <v>1504</v>
      </c>
      <c r="C767" s="12" t="s">
        <v>1484</v>
      </c>
    </row>
    <row r="768" spans="1:3" x14ac:dyDescent="0.2">
      <c r="A768" s="12" t="s">
        <v>464</v>
      </c>
      <c r="B768" s="12" t="s">
        <v>1504</v>
      </c>
      <c r="C768" s="12" t="s">
        <v>459</v>
      </c>
    </row>
    <row r="769" spans="1:3" x14ac:dyDescent="0.2">
      <c r="A769" s="12" t="s">
        <v>390</v>
      </c>
      <c r="B769" s="12" t="s">
        <v>1504</v>
      </c>
      <c r="C769" s="12" t="s">
        <v>321</v>
      </c>
    </row>
    <row r="770" spans="1:3" x14ac:dyDescent="0.2">
      <c r="A770" s="12" t="s">
        <v>276</v>
      </c>
      <c r="B770" s="12" t="s">
        <v>1505</v>
      </c>
      <c r="C770" s="12" t="s">
        <v>228</v>
      </c>
    </row>
    <row r="771" spans="1:3" x14ac:dyDescent="0.2">
      <c r="A771" s="12" t="s">
        <v>195</v>
      </c>
      <c r="B771" s="12" t="s">
        <v>1505</v>
      </c>
      <c r="C771" s="12" t="s">
        <v>1531</v>
      </c>
    </row>
    <row r="772" spans="1:3" x14ac:dyDescent="0.2">
      <c r="A772" s="12" t="s">
        <v>255</v>
      </c>
      <c r="B772" s="12" t="s">
        <v>1505</v>
      </c>
      <c r="C772" s="12" t="s">
        <v>254</v>
      </c>
    </row>
    <row r="773" spans="1:3" x14ac:dyDescent="0.2">
      <c r="A773" s="12" t="s">
        <v>573</v>
      </c>
      <c r="B773" s="12" t="s">
        <v>1505</v>
      </c>
      <c r="C773" s="12" t="s">
        <v>561</v>
      </c>
    </row>
    <row r="774" spans="1:3" x14ac:dyDescent="0.2">
      <c r="A774" s="12" t="s">
        <v>574</v>
      </c>
      <c r="B774" s="12" t="s">
        <v>1505</v>
      </c>
      <c r="C774" s="12" t="s">
        <v>562</v>
      </c>
    </row>
    <row r="775" spans="1:3" x14ac:dyDescent="0.2">
      <c r="A775" s="12" t="s">
        <v>545</v>
      </c>
      <c r="B775" s="12" t="s">
        <v>1505</v>
      </c>
      <c r="C775" s="12" t="s">
        <v>283</v>
      </c>
    </row>
    <row r="776" spans="1:3" x14ac:dyDescent="0.2">
      <c r="A776" s="12" t="s">
        <v>547</v>
      </c>
      <c r="B776" s="12" t="s">
        <v>1505</v>
      </c>
      <c r="C776" s="12" t="s">
        <v>356</v>
      </c>
    </row>
    <row r="777" spans="1:3" x14ac:dyDescent="0.2">
      <c r="A777" s="12" t="s">
        <v>550</v>
      </c>
      <c r="B777" s="12" t="s">
        <v>1505</v>
      </c>
      <c r="C777" s="12" t="s">
        <v>1532</v>
      </c>
    </row>
    <row r="778" spans="1:3" x14ac:dyDescent="0.2">
      <c r="A778" s="12" t="s">
        <v>680</v>
      </c>
      <c r="B778" s="12" t="s">
        <v>1505</v>
      </c>
      <c r="C778" s="12" t="s">
        <v>681</v>
      </c>
    </row>
    <row r="779" spans="1:3" x14ac:dyDescent="0.2">
      <c r="A779" s="12" t="s">
        <v>355</v>
      </c>
      <c r="B779" s="12" t="s">
        <v>1505</v>
      </c>
      <c r="C779" s="12" t="s">
        <v>356</v>
      </c>
    </row>
    <row r="780" spans="1:3" x14ac:dyDescent="0.2">
      <c r="A780" s="12" t="s">
        <v>358</v>
      </c>
      <c r="B780" s="12" t="s">
        <v>1505</v>
      </c>
      <c r="C780" s="12" t="s">
        <v>359</v>
      </c>
    </row>
    <row r="781" spans="1:3" x14ac:dyDescent="0.2">
      <c r="A781" s="12" t="s">
        <v>576</v>
      </c>
      <c r="B781" s="12" t="s">
        <v>1505</v>
      </c>
      <c r="C781" s="12" t="s">
        <v>411</v>
      </c>
    </row>
    <row r="782" spans="1:3" x14ac:dyDescent="0.2">
      <c r="A782" s="12" t="s">
        <v>580</v>
      </c>
      <c r="B782" s="12" t="s">
        <v>1505</v>
      </c>
      <c r="C782" s="12" t="s">
        <v>1533</v>
      </c>
    </row>
    <row r="783" spans="1:3" x14ac:dyDescent="0.2">
      <c r="A783" s="12" t="s">
        <v>351</v>
      </c>
      <c r="B783" s="12" t="s">
        <v>1505</v>
      </c>
      <c r="C783" s="12" t="s">
        <v>283</v>
      </c>
    </row>
    <row r="784" spans="1:3" x14ac:dyDescent="0.2">
      <c r="A784" s="12" t="s">
        <v>352</v>
      </c>
      <c r="B784" s="12" t="s">
        <v>1505</v>
      </c>
      <c r="C784" s="12" t="s">
        <v>283</v>
      </c>
    </row>
    <row r="785" spans="1:3" x14ac:dyDescent="0.2">
      <c r="A785" s="12" t="s">
        <v>765</v>
      </c>
      <c r="B785" s="12" t="s">
        <v>1505</v>
      </c>
      <c r="C785" s="12" t="s">
        <v>694</v>
      </c>
    </row>
    <row r="786" spans="1:3" x14ac:dyDescent="0.2">
      <c r="A786" s="12" t="s">
        <v>764</v>
      </c>
      <c r="B786" s="12" t="s">
        <v>1505</v>
      </c>
      <c r="C786" s="12" t="s">
        <v>692</v>
      </c>
    </row>
    <row r="787" spans="1:3" x14ac:dyDescent="0.2">
      <c r="A787" s="12" t="s">
        <v>693</v>
      </c>
      <c r="B787" s="12" t="s">
        <v>1505</v>
      </c>
      <c r="C787" s="12" t="s">
        <v>694</v>
      </c>
    </row>
    <row r="788" spans="1:3" x14ac:dyDescent="0.2">
      <c r="A788" s="12" t="s">
        <v>691</v>
      </c>
      <c r="B788" s="12" t="s">
        <v>1505</v>
      </c>
      <c r="C788" s="12" t="s">
        <v>1284</v>
      </c>
    </row>
    <row r="789" spans="1:3" x14ac:dyDescent="0.2">
      <c r="A789" s="12" t="s">
        <v>695</v>
      </c>
      <c r="B789" s="12" t="s">
        <v>1505</v>
      </c>
      <c r="C789" s="12" t="s">
        <v>696</v>
      </c>
    </row>
    <row r="790" spans="1:3" x14ac:dyDescent="0.2">
      <c r="A790" s="12" t="s">
        <v>433</v>
      </c>
      <c r="B790" s="12" t="s">
        <v>1505</v>
      </c>
      <c r="C790" s="12" t="s">
        <v>411</v>
      </c>
    </row>
    <row r="791" spans="1:3" x14ac:dyDescent="0.2">
      <c r="A791" s="12" t="s">
        <v>617</v>
      </c>
      <c r="B791" s="12" t="s">
        <v>1505</v>
      </c>
      <c r="C791" s="12" t="s">
        <v>270</v>
      </c>
    </row>
    <row r="792" spans="1:3" x14ac:dyDescent="0.2">
      <c r="A792" s="12" t="s">
        <v>697</v>
      </c>
      <c r="B792" s="12" t="s">
        <v>1505</v>
      </c>
      <c r="C792" s="12" t="s">
        <v>696</v>
      </c>
    </row>
    <row r="793" spans="1:3" x14ac:dyDescent="0.2">
      <c r="A793" s="12" t="s">
        <v>76</v>
      </c>
      <c r="B793" s="12" t="s">
        <v>1505</v>
      </c>
      <c r="C793" s="12" t="s">
        <v>73</v>
      </c>
    </row>
    <row r="794" spans="1:3" x14ac:dyDescent="0.2">
      <c r="A794" s="12" t="s">
        <v>90</v>
      </c>
      <c r="B794" s="12" t="s">
        <v>1505</v>
      </c>
      <c r="C794" s="12" t="s">
        <v>1382</v>
      </c>
    </row>
    <row r="795" spans="1:3" x14ac:dyDescent="0.2">
      <c r="A795" s="12" t="s">
        <v>205</v>
      </c>
      <c r="B795" s="12" t="s">
        <v>1505</v>
      </c>
      <c r="C795" s="12" t="s">
        <v>202</v>
      </c>
    </row>
    <row r="796" spans="1:3" x14ac:dyDescent="0.2">
      <c r="A796" s="12" t="s">
        <v>836</v>
      </c>
      <c r="B796" s="12" t="s">
        <v>1505</v>
      </c>
      <c r="C796" s="12" t="s">
        <v>425</v>
      </c>
    </row>
    <row r="797" spans="1:3" x14ac:dyDescent="0.2">
      <c r="A797" s="12" t="s">
        <v>834</v>
      </c>
      <c r="B797" s="12" t="s">
        <v>1505</v>
      </c>
      <c r="C797" s="12" t="s">
        <v>422</v>
      </c>
    </row>
    <row r="798" spans="1:3" x14ac:dyDescent="0.2">
      <c r="A798" s="12" t="s">
        <v>835</v>
      </c>
      <c r="B798" s="12" t="s">
        <v>1505</v>
      </c>
      <c r="C798" s="12" t="s">
        <v>422</v>
      </c>
    </row>
    <row r="799" spans="1:3" x14ac:dyDescent="0.2">
      <c r="A799" s="12" t="s">
        <v>829</v>
      </c>
      <c r="B799" s="12" t="s">
        <v>1505</v>
      </c>
      <c r="C799" s="12" t="s">
        <v>817</v>
      </c>
    </row>
    <row r="800" spans="1:3" x14ac:dyDescent="0.2">
      <c r="A800" s="12" t="s">
        <v>831</v>
      </c>
      <c r="B800" s="12" t="s">
        <v>1505</v>
      </c>
      <c r="C800" s="12" t="s">
        <v>819</v>
      </c>
    </row>
    <row r="801" spans="1:3" x14ac:dyDescent="0.2">
      <c r="A801" s="12" t="s">
        <v>839</v>
      </c>
      <c r="B801" s="12" t="s">
        <v>1505</v>
      </c>
      <c r="C801" s="12" t="s">
        <v>420</v>
      </c>
    </row>
    <row r="802" spans="1:3" x14ac:dyDescent="0.2">
      <c r="A802" s="12" t="s">
        <v>266</v>
      </c>
      <c r="B802" s="12" t="s">
        <v>1505</v>
      </c>
      <c r="C802" s="12" t="s">
        <v>1386</v>
      </c>
    </row>
    <row r="803" spans="1:3" x14ac:dyDescent="0.2">
      <c r="A803" s="12" t="s">
        <v>824</v>
      </c>
      <c r="B803" s="12" t="s">
        <v>1505</v>
      </c>
      <c r="C803" s="12" t="s">
        <v>823</v>
      </c>
    </row>
    <row r="804" spans="1:3" x14ac:dyDescent="0.2">
      <c r="A804" s="12" t="s">
        <v>818</v>
      </c>
      <c r="B804" s="12" t="s">
        <v>1505</v>
      </c>
      <c r="C804" s="12" t="s">
        <v>819</v>
      </c>
    </row>
    <row r="805" spans="1:3" x14ac:dyDescent="0.2">
      <c r="A805" s="12" t="s">
        <v>816</v>
      </c>
      <c r="B805" s="12" t="s">
        <v>1505</v>
      </c>
      <c r="C805" s="12" t="s">
        <v>817</v>
      </c>
    </row>
    <row r="806" spans="1:3" x14ac:dyDescent="0.2">
      <c r="A806" s="12" t="s">
        <v>837</v>
      </c>
      <c r="B806" s="12" t="s">
        <v>1505</v>
      </c>
      <c r="C806" s="12" t="s">
        <v>425</v>
      </c>
    </row>
    <row r="807" spans="1:3" x14ac:dyDescent="0.2">
      <c r="A807" s="12" t="s">
        <v>842</v>
      </c>
      <c r="B807" s="12" t="s">
        <v>1505</v>
      </c>
      <c r="C807" s="12" t="s">
        <v>1427</v>
      </c>
    </row>
    <row r="808" spans="1:3" x14ac:dyDescent="0.2">
      <c r="A808" s="12" t="s">
        <v>832</v>
      </c>
      <c r="B808" s="12" t="s">
        <v>1505</v>
      </c>
      <c r="C808" s="12" t="s">
        <v>821</v>
      </c>
    </row>
    <row r="809" spans="1:3" x14ac:dyDescent="0.2">
      <c r="A809" s="12" t="s">
        <v>833</v>
      </c>
      <c r="B809" s="12" t="s">
        <v>1505</v>
      </c>
      <c r="C809" s="12" t="s">
        <v>821</v>
      </c>
    </row>
    <row r="810" spans="1:3" x14ac:dyDescent="0.2">
      <c r="A810" s="12" t="s">
        <v>424</v>
      </c>
      <c r="B810" s="12" t="s">
        <v>1505</v>
      </c>
      <c r="C810" s="12" t="s">
        <v>425</v>
      </c>
    </row>
    <row r="811" spans="1:3" x14ac:dyDescent="0.2">
      <c r="A811" s="12" t="s">
        <v>820</v>
      </c>
      <c r="B811" s="12" t="s">
        <v>1505</v>
      </c>
      <c r="C811" s="12" t="s">
        <v>821</v>
      </c>
    </row>
    <row r="812" spans="1:3" x14ac:dyDescent="0.2">
      <c r="A812" s="12" t="s">
        <v>822</v>
      </c>
      <c r="B812" s="12" t="s">
        <v>1505</v>
      </c>
      <c r="C812" s="12" t="s">
        <v>823</v>
      </c>
    </row>
    <row r="813" spans="1:3" x14ac:dyDescent="0.2">
      <c r="A813" s="12" t="s">
        <v>423</v>
      </c>
      <c r="B813" s="12" t="s">
        <v>1505</v>
      </c>
      <c r="C813" s="12" t="s">
        <v>1445</v>
      </c>
    </row>
    <row r="814" spans="1:3" x14ac:dyDescent="0.2">
      <c r="A814" s="12" t="s">
        <v>419</v>
      </c>
      <c r="B814" s="12" t="s">
        <v>1505</v>
      </c>
      <c r="C814" s="12" t="s">
        <v>420</v>
      </c>
    </row>
    <row r="815" spans="1:3" x14ac:dyDescent="0.2">
      <c r="A815" s="12" t="s">
        <v>866</v>
      </c>
      <c r="B815" s="12" t="s">
        <v>1505</v>
      </c>
      <c r="C815" s="12" t="s">
        <v>1478</v>
      </c>
    </row>
    <row r="816" spans="1:3" x14ac:dyDescent="0.2">
      <c r="A816" s="12" t="s">
        <v>844</v>
      </c>
      <c r="B816" s="12" t="s">
        <v>1505</v>
      </c>
      <c r="C816" s="12" t="s">
        <v>843</v>
      </c>
    </row>
    <row r="817" spans="1:3" x14ac:dyDescent="0.2">
      <c r="A817" s="12" t="s">
        <v>867</v>
      </c>
      <c r="B817" s="12" t="s">
        <v>1505</v>
      </c>
      <c r="C817" s="12" t="s">
        <v>868</v>
      </c>
    </row>
    <row r="818" spans="1:3" x14ac:dyDescent="0.2">
      <c r="A818" s="12" t="s">
        <v>273</v>
      </c>
      <c r="B818" s="12" t="s">
        <v>1505</v>
      </c>
      <c r="C818" s="12" t="s">
        <v>1477</v>
      </c>
    </row>
    <row r="819" spans="1:3" x14ac:dyDescent="0.2">
      <c r="A819" s="12" t="s">
        <v>869</v>
      </c>
      <c r="B819" s="12" t="s">
        <v>1505</v>
      </c>
      <c r="C819" s="12" t="s">
        <v>870</v>
      </c>
    </row>
    <row r="820" spans="1:3" x14ac:dyDescent="0.2">
      <c r="A820" s="12" t="s">
        <v>268</v>
      </c>
      <c r="B820" s="12" t="s">
        <v>1505</v>
      </c>
      <c r="C820" s="12" t="s">
        <v>1487</v>
      </c>
    </row>
    <row r="821" spans="1:3" x14ac:dyDescent="0.2">
      <c r="A821" s="12" t="s">
        <v>274</v>
      </c>
      <c r="B821" s="12" t="s">
        <v>1505</v>
      </c>
      <c r="C821" s="12" t="s">
        <v>270</v>
      </c>
    </row>
    <row r="822" spans="1:3" x14ac:dyDescent="0.2">
      <c r="A822" s="12" t="s">
        <v>1507</v>
      </c>
      <c r="B822" s="12" t="s">
        <v>1506</v>
      </c>
      <c r="C822" s="12" t="s">
        <v>202</v>
      </c>
    </row>
    <row r="823" spans="1:3" x14ac:dyDescent="0.2">
      <c r="A823" s="12" t="s">
        <v>530</v>
      </c>
      <c r="B823" s="12" t="s">
        <v>1506</v>
      </c>
      <c r="C823" s="12" t="s">
        <v>1367</v>
      </c>
    </row>
    <row r="824" spans="1:3" x14ac:dyDescent="0.2">
      <c r="A824" s="12" t="s">
        <v>385</v>
      </c>
      <c r="B824" s="12" t="s">
        <v>1506</v>
      </c>
      <c r="C824" s="12" t="s">
        <v>240</v>
      </c>
    </row>
    <row r="825" spans="1:3" x14ac:dyDescent="0.2">
      <c r="A825" s="12" t="s">
        <v>193</v>
      </c>
      <c r="B825" s="12" t="s">
        <v>1506</v>
      </c>
      <c r="C825" s="12" t="s">
        <v>1534</v>
      </c>
    </row>
    <row r="826" spans="1:3" x14ac:dyDescent="0.2">
      <c r="A826" s="12" t="s">
        <v>494</v>
      </c>
      <c r="B826" s="12" t="s">
        <v>1506</v>
      </c>
      <c r="C826" s="12" t="s">
        <v>1535</v>
      </c>
    </row>
    <row r="827" spans="1:3" x14ac:dyDescent="0.2">
      <c r="A827" s="12" t="s">
        <v>497</v>
      </c>
      <c r="B827" s="12" t="s">
        <v>1506</v>
      </c>
      <c r="C827" s="12" t="s">
        <v>232</v>
      </c>
    </row>
    <row r="828" spans="1:3" x14ac:dyDescent="0.2">
      <c r="A828" s="12" t="s">
        <v>350</v>
      </c>
      <c r="B828" s="12" t="s">
        <v>1506</v>
      </c>
      <c r="C828" s="12" t="s">
        <v>229</v>
      </c>
    </row>
    <row r="829" spans="1:3" x14ac:dyDescent="0.2">
      <c r="A829" s="12" t="s">
        <v>97</v>
      </c>
      <c r="B829" s="12" t="s">
        <v>1506</v>
      </c>
      <c r="C829" s="12" t="s">
        <v>96</v>
      </c>
    </row>
    <row r="830" spans="1:3" x14ac:dyDescent="0.2">
      <c r="A830" s="12" t="s">
        <v>386</v>
      </c>
      <c r="B830" s="12" t="s">
        <v>1506</v>
      </c>
      <c r="C830" s="12" t="s">
        <v>235</v>
      </c>
    </row>
    <row r="831" spans="1:3" x14ac:dyDescent="0.2">
      <c r="A831" s="12" t="s">
        <v>620</v>
      </c>
      <c r="B831" s="12" t="s">
        <v>1506</v>
      </c>
      <c r="C831" s="12" t="s">
        <v>1536</v>
      </c>
    </row>
    <row r="832" spans="1:3" x14ac:dyDescent="0.2">
      <c r="A832" s="12" t="s">
        <v>663</v>
      </c>
      <c r="B832" s="12" t="s">
        <v>1506</v>
      </c>
      <c r="C832" s="12" t="s">
        <v>664</v>
      </c>
    </row>
    <row r="833" spans="1:3" x14ac:dyDescent="0.2">
      <c r="A833" s="12" t="s">
        <v>665</v>
      </c>
      <c r="B833" s="12" t="s">
        <v>1506</v>
      </c>
      <c r="C833" s="12" t="s">
        <v>666</v>
      </c>
    </row>
    <row r="834" spans="1:3" x14ac:dyDescent="0.2">
      <c r="A834" s="12" t="s">
        <v>667</v>
      </c>
      <c r="B834" s="12" t="s">
        <v>1506</v>
      </c>
      <c r="C834" s="12" t="s">
        <v>668</v>
      </c>
    </row>
    <row r="835" spans="1:3" x14ac:dyDescent="0.2">
      <c r="A835" s="12" t="s">
        <v>643</v>
      </c>
      <c r="B835" s="12" t="s">
        <v>1506</v>
      </c>
      <c r="C835" s="12" t="s">
        <v>561</v>
      </c>
    </row>
    <row r="836" spans="1:3" x14ac:dyDescent="0.2">
      <c r="A836" s="12" t="s">
        <v>644</v>
      </c>
      <c r="B836" s="12" t="s">
        <v>1506</v>
      </c>
      <c r="C836" s="12" t="s">
        <v>562</v>
      </c>
    </row>
    <row r="837" spans="1:3" x14ac:dyDescent="0.2">
      <c r="A837" s="12" t="s">
        <v>647</v>
      </c>
      <c r="B837" s="12" t="s">
        <v>1506</v>
      </c>
      <c r="C837" s="12" t="s">
        <v>73</v>
      </c>
    </row>
    <row r="838" spans="1:3" x14ac:dyDescent="0.2">
      <c r="A838" s="12" t="s">
        <v>648</v>
      </c>
      <c r="B838" s="12" t="s">
        <v>1506</v>
      </c>
      <c r="C838" s="12" t="s">
        <v>87</v>
      </c>
    </row>
    <row r="839" spans="1:3" x14ac:dyDescent="0.2">
      <c r="A839" s="12" t="s">
        <v>529</v>
      </c>
      <c r="B839" s="12" t="s">
        <v>1506</v>
      </c>
      <c r="C839" s="12" t="s">
        <v>356</v>
      </c>
    </row>
    <row r="840" spans="1:3" x14ac:dyDescent="0.2">
      <c r="A840" s="12" t="s">
        <v>526</v>
      </c>
      <c r="B840" s="12" t="s">
        <v>1506</v>
      </c>
      <c r="C840" s="12" t="s">
        <v>1537</v>
      </c>
    </row>
    <row r="841" spans="1:3" x14ac:dyDescent="0.2">
      <c r="A841" s="12" t="s">
        <v>674</v>
      </c>
      <c r="B841" s="12" t="s">
        <v>1506</v>
      </c>
      <c r="C841" s="12" t="s">
        <v>544</v>
      </c>
    </row>
    <row r="842" spans="1:3" x14ac:dyDescent="0.2">
      <c r="A842" s="12" t="s">
        <v>456</v>
      </c>
      <c r="B842" s="12" t="s">
        <v>1506</v>
      </c>
      <c r="C842" s="12" t="s">
        <v>254</v>
      </c>
    </row>
    <row r="843" spans="1:3" x14ac:dyDescent="0.2">
      <c r="A843" s="12" t="s">
        <v>196</v>
      </c>
      <c r="B843" s="12" t="s">
        <v>1508</v>
      </c>
      <c r="C843" s="12" t="s">
        <v>71</v>
      </c>
    </row>
    <row r="844" spans="1:3" x14ac:dyDescent="0.2">
      <c r="A844" s="12" t="s">
        <v>197</v>
      </c>
      <c r="B844" s="12" t="s">
        <v>1508</v>
      </c>
      <c r="C844" s="12" t="s">
        <v>7</v>
      </c>
    </row>
    <row r="845" spans="1:3" x14ac:dyDescent="0.2">
      <c r="A845" s="12" t="s">
        <v>6</v>
      </c>
      <c r="B845" s="12" t="s">
        <v>1508</v>
      </c>
      <c r="C845" s="12" t="s">
        <v>7</v>
      </c>
    </row>
    <row r="846" spans="1:3" x14ac:dyDescent="0.2">
      <c r="A846" s="12" t="s">
        <v>375</v>
      </c>
      <c r="B846" s="12" t="s">
        <v>1508</v>
      </c>
      <c r="C846" s="12" t="s">
        <v>324</v>
      </c>
    </row>
    <row r="847" spans="1:3" x14ac:dyDescent="0.2">
      <c r="A847" s="12" t="s">
        <v>227</v>
      </c>
      <c r="B847" s="12" t="s">
        <v>1508</v>
      </c>
      <c r="C847" s="12" t="s">
        <v>228</v>
      </c>
    </row>
    <row r="848" spans="1:3" x14ac:dyDescent="0.2">
      <c r="A848" s="12" t="s">
        <v>230</v>
      </c>
      <c r="B848" s="12" t="s">
        <v>1508</v>
      </c>
      <c r="C848" s="12" t="s">
        <v>229</v>
      </c>
    </row>
    <row r="849" spans="1:3" x14ac:dyDescent="0.2">
      <c r="A849" s="12" t="s">
        <v>250</v>
      </c>
      <c r="B849" s="12" t="s">
        <v>1508</v>
      </c>
      <c r="C849" s="12" t="s">
        <v>240</v>
      </c>
    </row>
    <row r="850" spans="1:3" x14ac:dyDescent="0.2">
      <c r="A850" s="12" t="s">
        <v>687</v>
      </c>
      <c r="B850" s="12" t="s">
        <v>1508</v>
      </c>
      <c r="C850" s="12" t="s">
        <v>688</v>
      </c>
    </row>
    <row r="851" spans="1:3" x14ac:dyDescent="0.2">
      <c r="A851" s="12" t="s">
        <v>132</v>
      </c>
      <c r="B851" s="12" t="s">
        <v>1013</v>
      </c>
      <c r="C851" s="12" t="s">
        <v>42</v>
      </c>
    </row>
    <row r="852" spans="1:3" x14ac:dyDescent="0.2">
      <c r="A852" s="12" t="s">
        <v>134</v>
      </c>
      <c r="B852" s="12" t="s">
        <v>1013</v>
      </c>
      <c r="C852" s="12" t="s">
        <v>77</v>
      </c>
    </row>
    <row r="853" spans="1:3" x14ac:dyDescent="0.2">
      <c r="A853" s="12" t="s">
        <v>813</v>
      </c>
      <c r="B853" s="12" t="s">
        <v>1013</v>
      </c>
      <c r="C853" s="12" t="s">
        <v>324</v>
      </c>
    </row>
    <row r="854" spans="1:3" x14ac:dyDescent="0.2">
      <c r="A854" s="12" t="s">
        <v>68</v>
      </c>
      <c r="B854" s="12" t="s">
        <v>1509</v>
      </c>
      <c r="C854" s="12" t="s">
        <v>42</v>
      </c>
    </row>
    <row r="855" spans="1:3" x14ac:dyDescent="0.2">
      <c r="A855" s="12" t="s">
        <v>65</v>
      </c>
      <c r="B855" s="12" t="s">
        <v>1509</v>
      </c>
      <c r="C855" s="12" t="s">
        <v>49</v>
      </c>
    </row>
    <row r="856" spans="1:3" x14ac:dyDescent="0.2">
      <c r="A856" s="12" t="s">
        <v>67</v>
      </c>
      <c r="B856" s="12" t="s">
        <v>1509</v>
      </c>
      <c r="C856" s="12" t="s">
        <v>48</v>
      </c>
    </row>
    <row r="857" spans="1:3" x14ac:dyDescent="0.2">
      <c r="A857" s="12" t="s">
        <v>139</v>
      </c>
      <c r="B857" s="12" t="s">
        <v>1509</v>
      </c>
      <c r="C857" s="12" t="s">
        <v>70</v>
      </c>
    </row>
    <row r="858" spans="1:3" x14ac:dyDescent="0.2">
      <c r="A858" s="12" t="s">
        <v>43</v>
      </c>
      <c r="B858" s="12" t="s">
        <v>1509</v>
      </c>
      <c r="C858" s="12" t="s">
        <v>44</v>
      </c>
    </row>
    <row r="859" spans="1:3" x14ac:dyDescent="0.2">
      <c r="A859" s="12" t="s">
        <v>735</v>
      </c>
      <c r="B859" s="12" t="s">
        <v>1509</v>
      </c>
      <c r="C859" s="12" t="s">
        <v>708</v>
      </c>
    </row>
    <row r="860" spans="1:3" x14ac:dyDescent="0.2">
      <c r="A860" s="12" t="s">
        <v>736</v>
      </c>
      <c r="B860" s="12" t="s">
        <v>1509</v>
      </c>
      <c r="C860" s="12" t="s">
        <v>737</v>
      </c>
    </row>
    <row r="861" spans="1:3" x14ac:dyDescent="0.2">
      <c r="A861" s="12" t="s">
        <v>539</v>
      </c>
      <c r="B861" s="12" t="s">
        <v>1509</v>
      </c>
      <c r="C861" s="12" t="s">
        <v>241</v>
      </c>
    </row>
    <row r="862" spans="1:3" x14ac:dyDescent="0.2">
      <c r="A862" s="12" t="s">
        <v>739</v>
      </c>
      <c r="B862" s="12" t="s">
        <v>1509</v>
      </c>
      <c r="C862" s="12" t="s">
        <v>1538</v>
      </c>
    </row>
    <row r="863" spans="1:3" x14ac:dyDescent="0.2">
      <c r="A863" s="12" t="s">
        <v>738</v>
      </c>
      <c r="B863" s="12" t="s">
        <v>1509</v>
      </c>
      <c r="C863" s="12" t="s">
        <v>626</v>
      </c>
    </row>
    <row r="864" spans="1:3" x14ac:dyDescent="0.2">
      <c r="A864" s="12" t="s">
        <v>293</v>
      </c>
      <c r="B864" s="12" t="s">
        <v>1510</v>
      </c>
      <c r="C864" s="12" t="s">
        <v>229</v>
      </c>
    </row>
    <row r="865" spans="1:3" x14ac:dyDescent="0.2">
      <c r="A865" s="12" t="s">
        <v>295</v>
      </c>
      <c r="B865" s="12" t="s">
        <v>1510</v>
      </c>
      <c r="C865" s="12" t="s">
        <v>241</v>
      </c>
    </row>
    <row r="866" spans="1:3" x14ac:dyDescent="0.2">
      <c r="A866" s="12" t="s">
        <v>628</v>
      </c>
      <c r="B866" s="12" t="s">
        <v>1510</v>
      </c>
      <c r="C866" s="12" t="s">
        <v>1209</v>
      </c>
    </row>
    <row r="867" spans="1:3" x14ac:dyDescent="0.2">
      <c r="A867" s="12" t="s">
        <v>671</v>
      </c>
      <c r="B867" s="12" t="s">
        <v>1510</v>
      </c>
      <c r="C867" s="12" t="s">
        <v>626</v>
      </c>
    </row>
    <row r="868" spans="1:3" x14ac:dyDescent="0.2">
      <c r="A868" s="12" t="s">
        <v>802</v>
      </c>
      <c r="B868" s="12" t="s">
        <v>1510</v>
      </c>
      <c r="C868" s="12" t="s">
        <v>708</v>
      </c>
    </row>
    <row r="869" spans="1:3" x14ac:dyDescent="0.2">
      <c r="A869" s="12" t="s">
        <v>803</v>
      </c>
      <c r="B869" s="12" t="s">
        <v>1510</v>
      </c>
      <c r="C869" s="12" t="s">
        <v>708</v>
      </c>
    </row>
    <row r="870" spans="1:3" x14ac:dyDescent="0.2">
      <c r="A870" s="12" t="s">
        <v>804</v>
      </c>
      <c r="B870" s="12" t="s">
        <v>1510</v>
      </c>
      <c r="C870" s="12" t="s">
        <v>708</v>
      </c>
    </row>
    <row r="871" spans="1:3" x14ac:dyDescent="0.2">
      <c r="A871" s="12" t="s">
        <v>86</v>
      </c>
      <c r="B871" s="12" t="s">
        <v>1511</v>
      </c>
      <c r="C871" s="12" t="s">
        <v>42</v>
      </c>
    </row>
    <row r="872" spans="1:3" x14ac:dyDescent="0.2">
      <c r="A872" s="12" t="s">
        <v>85</v>
      </c>
      <c r="B872" s="12" t="s">
        <v>1511</v>
      </c>
      <c r="C872" s="12" t="s">
        <v>1523</v>
      </c>
    </row>
    <row r="873" spans="1:3" x14ac:dyDescent="0.2">
      <c r="A873" s="12" t="s">
        <v>52</v>
      </c>
      <c r="B873" s="12" t="s">
        <v>1511</v>
      </c>
      <c r="C873" s="12" t="s">
        <v>51</v>
      </c>
    </row>
    <row r="874" spans="1:3" x14ac:dyDescent="0.2">
      <c r="A874" s="12" t="s">
        <v>199</v>
      </c>
      <c r="B874" s="12" t="s">
        <v>1511</v>
      </c>
      <c r="C874" s="12" t="s">
        <v>71</v>
      </c>
    </row>
    <row r="875" spans="1:3" x14ac:dyDescent="0.2">
      <c r="A875" s="12" t="s">
        <v>55</v>
      </c>
      <c r="B875" s="12" t="s">
        <v>1511</v>
      </c>
      <c r="C875" s="12" t="s">
        <v>54</v>
      </c>
    </row>
    <row r="876" spans="1:3" x14ac:dyDescent="0.2">
      <c r="A876" s="12" t="s">
        <v>766</v>
      </c>
      <c r="B876" s="12" t="s">
        <v>1511</v>
      </c>
      <c r="C876" s="12" t="s">
        <v>708</v>
      </c>
    </row>
    <row r="877" spans="1:3" x14ac:dyDescent="0.2">
      <c r="A877" s="12" t="s">
        <v>540</v>
      </c>
      <c r="B877" s="12" t="s">
        <v>1511</v>
      </c>
      <c r="C877" s="12" t="s">
        <v>240</v>
      </c>
    </row>
    <row r="878" spans="1:3" x14ac:dyDescent="0.2">
      <c r="A878" s="12" t="s">
        <v>768</v>
      </c>
      <c r="B878" s="12" t="s">
        <v>1511</v>
      </c>
      <c r="C878" s="12" t="s">
        <v>626</v>
      </c>
    </row>
    <row r="879" spans="1:3" x14ac:dyDescent="0.2">
      <c r="A879" s="12" t="s">
        <v>280</v>
      </c>
      <c r="B879" s="12" t="s">
        <v>1512</v>
      </c>
      <c r="C879" s="12" t="s">
        <v>1539</v>
      </c>
    </row>
    <row r="880" spans="1:3" x14ac:dyDescent="0.2">
      <c r="A880" s="12" t="s">
        <v>279</v>
      </c>
      <c r="B880" s="12" t="s">
        <v>1512</v>
      </c>
      <c r="C880" s="12" t="s">
        <v>42</v>
      </c>
    </row>
    <row r="881" spans="1:3" x14ac:dyDescent="0.2">
      <c r="A881" s="12" t="s">
        <v>278</v>
      </c>
      <c r="B881" s="12" t="s">
        <v>1512</v>
      </c>
      <c r="C881" s="12" t="s">
        <v>48</v>
      </c>
    </row>
    <row r="882" spans="1:3" x14ac:dyDescent="0.2">
      <c r="A882" s="12" t="s">
        <v>170</v>
      </c>
      <c r="B882" s="12" t="s">
        <v>1513</v>
      </c>
      <c r="C882" s="12" t="s">
        <v>167</v>
      </c>
    </row>
    <row r="883" spans="1:3" x14ac:dyDescent="0.2">
      <c r="A883" s="12" t="s">
        <v>172</v>
      </c>
      <c r="B883" s="12" t="s">
        <v>1513</v>
      </c>
      <c r="C883" s="12" t="s">
        <v>167</v>
      </c>
    </row>
    <row r="884" spans="1:3" x14ac:dyDescent="0.2">
      <c r="A884" s="12" t="s">
        <v>645</v>
      </c>
      <c r="B884" s="12" t="s">
        <v>1513</v>
      </c>
      <c r="C884" s="12" t="s">
        <v>646</v>
      </c>
    </row>
    <row r="885" spans="1:3" x14ac:dyDescent="0.2">
      <c r="A885" s="12" t="s">
        <v>563</v>
      </c>
      <c r="B885" s="12" t="s">
        <v>1513</v>
      </c>
      <c r="C885" s="12" t="s">
        <v>562</v>
      </c>
    </row>
    <row r="886" spans="1:3" x14ac:dyDescent="0.2">
      <c r="A886" s="12" t="s">
        <v>409</v>
      </c>
      <c r="B886" s="12" t="s">
        <v>1513</v>
      </c>
      <c r="C886" s="12" t="s">
        <v>1540</v>
      </c>
    </row>
    <row r="887" spans="1:3" x14ac:dyDescent="0.2">
      <c r="A887" s="12" t="s">
        <v>446</v>
      </c>
      <c r="B887" s="12" t="s">
        <v>1513</v>
      </c>
      <c r="C887" s="12" t="s">
        <v>985</v>
      </c>
    </row>
    <row r="888" spans="1:3" x14ac:dyDescent="0.2">
      <c r="A888" s="12" t="s">
        <v>284</v>
      </c>
      <c r="B888" s="12" t="s">
        <v>1513</v>
      </c>
      <c r="C888" s="12" t="s">
        <v>283</v>
      </c>
    </row>
    <row r="889" spans="1:3" x14ac:dyDescent="0.2">
      <c r="A889" s="12" t="s">
        <v>450</v>
      </c>
      <c r="B889" s="12" t="s">
        <v>1513</v>
      </c>
      <c r="C889" s="12" t="s">
        <v>448</v>
      </c>
    </row>
    <row r="890" spans="1:3" x14ac:dyDescent="0.2">
      <c r="A890" s="12" t="s">
        <v>292</v>
      </c>
      <c r="B890" s="12" t="s">
        <v>1513</v>
      </c>
      <c r="C890" s="12" t="s">
        <v>270</v>
      </c>
    </row>
    <row r="891" spans="1:3" x14ac:dyDescent="0.2">
      <c r="A891" s="12" t="s">
        <v>403</v>
      </c>
      <c r="B891" s="12" t="s">
        <v>1513</v>
      </c>
      <c r="C891" s="12" t="s">
        <v>402</v>
      </c>
    </row>
    <row r="892" spans="1:3" x14ac:dyDescent="0.2">
      <c r="A892" s="12" t="s">
        <v>176</v>
      </c>
      <c r="B892" s="12" t="s">
        <v>1513</v>
      </c>
      <c r="C892" s="12" t="s">
        <v>173</v>
      </c>
    </row>
    <row r="893" spans="1:3" x14ac:dyDescent="0.2">
      <c r="A893" s="12" t="s">
        <v>175</v>
      </c>
      <c r="B893" s="12" t="s">
        <v>1513</v>
      </c>
      <c r="C893" s="12" t="s">
        <v>173</v>
      </c>
    </row>
    <row r="894" spans="1:3" x14ac:dyDescent="0.2">
      <c r="A894" s="12" t="s">
        <v>177</v>
      </c>
      <c r="B894" s="12" t="s">
        <v>1513</v>
      </c>
      <c r="C894" s="12" t="s">
        <v>173</v>
      </c>
    </row>
    <row r="895" spans="1:3" x14ac:dyDescent="0.2">
      <c r="A895" s="12" t="s">
        <v>566</v>
      </c>
      <c r="B895" s="12" t="s">
        <v>1513</v>
      </c>
      <c r="C895" s="12" t="s">
        <v>1541</v>
      </c>
    </row>
    <row r="896" spans="1:3" x14ac:dyDescent="0.2">
      <c r="A896" s="12" t="s">
        <v>120</v>
      </c>
      <c r="B896" s="12" t="s">
        <v>1513</v>
      </c>
      <c r="C896" s="12" t="s">
        <v>1136</v>
      </c>
    </row>
    <row r="897" spans="1:3" x14ac:dyDescent="0.2">
      <c r="A897" s="12" t="s">
        <v>127</v>
      </c>
      <c r="B897" s="12" t="s">
        <v>1513</v>
      </c>
      <c r="C897" s="12" t="s">
        <v>1194</v>
      </c>
    </row>
    <row r="898" spans="1:3" x14ac:dyDescent="0.2">
      <c r="A898" s="12" t="s">
        <v>684</v>
      </c>
      <c r="B898" s="12" t="s">
        <v>1513</v>
      </c>
      <c r="C898" s="12" t="s">
        <v>683</v>
      </c>
    </row>
    <row r="899" spans="1:3" x14ac:dyDescent="0.2">
      <c r="A899" s="12" t="s">
        <v>182</v>
      </c>
      <c r="B899" s="12" t="s">
        <v>1513</v>
      </c>
      <c r="C899" s="12" t="s">
        <v>178</v>
      </c>
    </row>
    <row r="900" spans="1:3" x14ac:dyDescent="0.2">
      <c r="A900" s="12" t="s">
        <v>686</v>
      </c>
      <c r="B900" s="12" t="s">
        <v>1513</v>
      </c>
      <c r="C900" s="12" t="s">
        <v>391</v>
      </c>
    </row>
    <row r="901" spans="1:3" x14ac:dyDescent="0.2">
      <c r="A901" s="12" t="s">
        <v>685</v>
      </c>
      <c r="B901" s="12" t="s">
        <v>1513</v>
      </c>
      <c r="C901" s="12" t="s">
        <v>681</v>
      </c>
    </row>
    <row r="902" spans="1:3" x14ac:dyDescent="0.2">
      <c r="A902" s="12" t="s">
        <v>614</v>
      </c>
      <c r="B902" s="12" t="s">
        <v>1513</v>
      </c>
      <c r="C902" s="12" t="s">
        <v>488</v>
      </c>
    </row>
    <row r="903" spans="1:3" x14ac:dyDescent="0.2">
      <c r="A903" s="12" t="s">
        <v>615</v>
      </c>
      <c r="B903" s="12" t="s">
        <v>1513</v>
      </c>
      <c r="C903" s="12" t="s">
        <v>488</v>
      </c>
    </row>
    <row r="904" spans="1:3" x14ac:dyDescent="0.2">
      <c r="A904" s="12" t="s">
        <v>826</v>
      </c>
      <c r="B904" s="12" t="s">
        <v>1513</v>
      </c>
      <c r="C904" s="12" t="s">
        <v>827</v>
      </c>
    </row>
    <row r="905" spans="1:3" x14ac:dyDescent="0.2">
      <c r="A905" s="12" t="s">
        <v>412</v>
      </c>
      <c r="B905" s="12" t="s">
        <v>1513</v>
      </c>
      <c r="C905" s="12" t="s">
        <v>411</v>
      </c>
    </row>
    <row r="906" spans="1:3" x14ac:dyDescent="0.2">
      <c r="A906" s="12" t="s">
        <v>113</v>
      </c>
      <c r="B906" s="12" t="s">
        <v>1513</v>
      </c>
      <c r="C906" s="12" t="s">
        <v>1373</v>
      </c>
    </row>
    <row r="907" spans="1:3" x14ac:dyDescent="0.2">
      <c r="A907" s="12" t="s">
        <v>114</v>
      </c>
      <c r="B907" s="12" t="s">
        <v>1513</v>
      </c>
      <c r="C907" s="12" t="s">
        <v>1373</v>
      </c>
    </row>
    <row r="908" spans="1:3" x14ac:dyDescent="0.2">
      <c r="A908" s="12" t="s">
        <v>112</v>
      </c>
      <c r="B908" s="12" t="s">
        <v>1513</v>
      </c>
      <c r="C908" s="12" t="s">
        <v>1373</v>
      </c>
    </row>
    <row r="909" spans="1:3" x14ac:dyDescent="0.2">
      <c r="A909" s="12" t="s">
        <v>856</v>
      </c>
      <c r="B909" s="12" t="s">
        <v>1513</v>
      </c>
      <c r="C909" s="12" t="s">
        <v>857</v>
      </c>
    </row>
    <row r="910" spans="1:3" x14ac:dyDescent="0.2">
      <c r="A910" s="12" t="s">
        <v>138</v>
      </c>
      <c r="B910" s="12" t="s">
        <v>1513</v>
      </c>
      <c r="C910" s="12" t="s">
        <v>1542</v>
      </c>
    </row>
    <row r="911" spans="1:3" x14ac:dyDescent="0.2">
      <c r="A911" s="12" t="s">
        <v>137</v>
      </c>
      <c r="B911" s="12" t="s">
        <v>1513</v>
      </c>
      <c r="C911" s="12" t="s">
        <v>1543</v>
      </c>
    </row>
    <row r="912" spans="1:3" x14ac:dyDescent="0.2">
      <c r="A912" s="12" t="s">
        <v>130</v>
      </c>
      <c r="B912" s="12" t="s">
        <v>1513</v>
      </c>
      <c r="C912" s="12" t="s">
        <v>128</v>
      </c>
    </row>
    <row r="913" spans="1:3" x14ac:dyDescent="0.2">
      <c r="A913" s="12" t="s">
        <v>159</v>
      </c>
      <c r="B913" s="12" t="s">
        <v>1513</v>
      </c>
      <c r="C913" s="12" t="s">
        <v>152</v>
      </c>
    </row>
    <row r="914" spans="1:3" x14ac:dyDescent="0.2">
      <c r="A914" s="12" t="s">
        <v>158</v>
      </c>
      <c r="B914" s="12" t="s">
        <v>1513</v>
      </c>
      <c r="C914" s="12" t="s">
        <v>152</v>
      </c>
    </row>
    <row r="915" spans="1:3" x14ac:dyDescent="0.2">
      <c r="A915" s="12" t="s">
        <v>166</v>
      </c>
      <c r="B915" s="12" t="s">
        <v>1513</v>
      </c>
      <c r="C915" s="12" t="s">
        <v>1324</v>
      </c>
    </row>
    <row r="916" spans="1:3" x14ac:dyDescent="0.2">
      <c r="A916" s="12" t="s">
        <v>848</v>
      </c>
      <c r="B916" s="12" t="s">
        <v>1513</v>
      </c>
      <c r="C916" s="12" t="s">
        <v>849</v>
      </c>
    </row>
    <row r="917" spans="1:3" x14ac:dyDescent="0.2">
      <c r="A917" s="12" t="s">
        <v>853</v>
      </c>
      <c r="B917" s="12" t="s">
        <v>1513</v>
      </c>
      <c r="C917" s="12" t="s">
        <v>852</v>
      </c>
    </row>
    <row r="918" spans="1:3" x14ac:dyDescent="0.2">
      <c r="A918" s="12" t="s">
        <v>850</v>
      </c>
      <c r="B918" s="12" t="s">
        <v>1513</v>
      </c>
      <c r="C918" s="12" t="s">
        <v>849</v>
      </c>
    </row>
    <row r="919" spans="1:3" x14ac:dyDescent="0.2">
      <c r="A919" s="12" t="s">
        <v>290</v>
      </c>
      <c r="B919" s="12" t="s">
        <v>1513</v>
      </c>
      <c r="C919" s="12" t="s">
        <v>1319</v>
      </c>
    </row>
    <row r="920" spans="1:3" x14ac:dyDescent="0.2">
      <c r="A920" s="12" t="s">
        <v>682</v>
      </c>
      <c r="B920" s="12" t="s">
        <v>1513</v>
      </c>
      <c r="C920" s="12" t="s">
        <v>683</v>
      </c>
    </row>
    <row r="921" spans="1:3" x14ac:dyDescent="0.2">
      <c r="A921" s="12" t="s">
        <v>126</v>
      </c>
      <c r="B921" s="12" t="s">
        <v>1513</v>
      </c>
      <c r="C921" s="12" t="s">
        <v>122</v>
      </c>
    </row>
    <row r="922" spans="1:3" x14ac:dyDescent="0.2">
      <c r="A922" s="12" t="s">
        <v>118</v>
      </c>
      <c r="B922" s="12" t="s">
        <v>1513</v>
      </c>
      <c r="C922" s="12" t="s">
        <v>115</v>
      </c>
    </row>
    <row r="923" spans="1:3" x14ac:dyDescent="0.2">
      <c r="A923" t="s">
        <v>155</v>
      </c>
      <c r="B923" t="s">
        <v>1513</v>
      </c>
      <c r="C923" t="s">
        <v>152</v>
      </c>
    </row>
    <row r="924" spans="1:3" x14ac:dyDescent="0.2">
      <c r="A924" t="s">
        <v>165</v>
      </c>
      <c r="B924" t="s">
        <v>1513</v>
      </c>
      <c r="C924" t="s">
        <v>160</v>
      </c>
    </row>
    <row r="925" spans="1:3" x14ac:dyDescent="0.2">
      <c r="A925" t="s">
        <v>171</v>
      </c>
      <c r="B925" t="s">
        <v>1513</v>
      </c>
      <c r="C925" t="s">
        <v>167</v>
      </c>
    </row>
    <row r="926" spans="1:3" x14ac:dyDescent="0.2">
      <c r="A926" t="s">
        <v>775</v>
      </c>
      <c r="B926" t="s">
        <v>1513</v>
      </c>
      <c r="C926" t="s">
        <v>776</v>
      </c>
    </row>
    <row r="927" spans="1:3" x14ac:dyDescent="0.2">
      <c r="A927" t="s">
        <v>784</v>
      </c>
      <c r="B927" t="s">
        <v>1513</v>
      </c>
      <c r="C927" t="s">
        <v>785</v>
      </c>
    </row>
    <row r="928" spans="1:3" x14ac:dyDescent="0.2">
      <c r="A928" t="s">
        <v>780</v>
      </c>
      <c r="B928" t="s">
        <v>1513</v>
      </c>
      <c r="C928" t="s">
        <v>785</v>
      </c>
    </row>
    <row r="929" spans="1:3" x14ac:dyDescent="0.2">
      <c r="A929" t="s">
        <v>794</v>
      </c>
      <c r="B929" t="s">
        <v>1513</v>
      </c>
      <c r="C929" t="s">
        <v>795</v>
      </c>
    </row>
    <row r="930" spans="1:3" x14ac:dyDescent="0.2">
      <c r="A930" t="s">
        <v>789</v>
      </c>
      <c r="B930" t="s">
        <v>1513</v>
      </c>
      <c r="C930" t="s">
        <v>1544</v>
      </c>
    </row>
    <row r="931" spans="1:3" x14ac:dyDescent="0.2">
      <c r="A931" t="s">
        <v>846</v>
      </c>
      <c r="B931" t="s">
        <v>1513</v>
      </c>
      <c r="C931" t="s">
        <v>1595</v>
      </c>
    </row>
    <row r="932" spans="1:3" x14ac:dyDescent="0.2">
      <c r="A932" t="s">
        <v>809</v>
      </c>
      <c r="B932" t="s">
        <v>1513</v>
      </c>
      <c r="C932" t="s">
        <v>810</v>
      </c>
    </row>
    <row r="933" spans="1:3" x14ac:dyDescent="0.2">
      <c r="A933" t="s">
        <v>376</v>
      </c>
      <c r="B933" t="s">
        <v>1514</v>
      </c>
      <c r="C933" t="s">
        <v>1545</v>
      </c>
    </row>
    <row r="934" spans="1:3" x14ac:dyDescent="0.2">
      <c r="A934" t="s">
        <v>377</v>
      </c>
      <c r="B934" t="s">
        <v>1514</v>
      </c>
      <c r="C934" t="s">
        <v>378</v>
      </c>
    </row>
    <row r="935" spans="1:3" x14ac:dyDescent="0.2">
      <c r="A935" t="s">
        <v>395</v>
      </c>
      <c r="B935" t="s">
        <v>1514</v>
      </c>
      <c r="C935" t="s">
        <v>394</v>
      </c>
    </row>
    <row r="936" spans="1:3" x14ac:dyDescent="0.2">
      <c r="A936" t="s">
        <v>436</v>
      </c>
      <c r="B936" t="s">
        <v>1514</v>
      </c>
      <c r="C936" t="s">
        <v>435</v>
      </c>
    </row>
    <row r="937" spans="1:3" x14ac:dyDescent="0.2">
      <c r="A937" t="s">
        <v>439</v>
      </c>
      <c r="B937" t="s">
        <v>1514</v>
      </c>
      <c r="C937" t="s">
        <v>438</v>
      </c>
    </row>
    <row r="938" spans="1:3" x14ac:dyDescent="0.2">
      <c r="A938" t="s">
        <v>442</v>
      </c>
      <c r="B938" t="s">
        <v>1514</v>
      </c>
      <c r="C938" t="s">
        <v>441</v>
      </c>
    </row>
    <row r="939" spans="1:3" x14ac:dyDescent="0.2">
      <c r="A939" t="s">
        <v>621</v>
      </c>
      <c r="B939" t="s">
        <v>1514</v>
      </c>
      <c r="C939" t="s">
        <v>575</v>
      </c>
    </row>
    <row r="940" spans="1:3" x14ac:dyDescent="0.2">
      <c r="A940" t="s">
        <v>633</v>
      </c>
      <c r="B940" t="s">
        <v>1514</v>
      </c>
      <c r="C940" t="s">
        <v>561</v>
      </c>
    </row>
    <row r="941" spans="1:3" x14ac:dyDescent="0.2">
      <c r="A941" t="s">
        <v>188</v>
      </c>
      <c r="B941" t="s">
        <v>1514</v>
      </c>
      <c r="C941" t="s">
        <v>186</v>
      </c>
    </row>
    <row r="942" spans="1:3" x14ac:dyDescent="0.2">
      <c r="A942" t="s">
        <v>187</v>
      </c>
      <c r="B942" t="s">
        <v>1514</v>
      </c>
      <c r="C942" t="s">
        <v>186</v>
      </c>
    </row>
    <row r="943" spans="1:3" x14ac:dyDescent="0.2">
      <c r="A943" t="s">
        <v>191</v>
      </c>
      <c r="B943" t="s">
        <v>1514</v>
      </c>
      <c r="C943" t="s">
        <v>190</v>
      </c>
    </row>
    <row r="944" spans="1:3" x14ac:dyDescent="0.2">
      <c r="A944" t="s">
        <v>398</v>
      </c>
      <c r="B944" t="s">
        <v>1514</v>
      </c>
      <c r="C944" t="s">
        <v>397</v>
      </c>
    </row>
    <row r="945" spans="1:3" x14ac:dyDescent="0.2">
      <c r="A945" t="s">
        <v>619</v>
      </c>
      <c r="B945" t="s">
        <v>1514</v>
      </c>
      <c r="C945" t="s">
        <v>575</v>
      </c>
    </row>
    <row r="946" spans="1:3" x14ac:dyDescent="0.2">
      <c r="A946" t="s">
        <v>800</v>
      </c>
      <c r="B946" t="s">
        <v>1514</v>
      </c>
      <c r="C946" t="s">
        <v>801</v>
      </c>
    </row>
    <row r="947" spans="1:3" x14ac:dyDescent="0.2">
      <c r="A947" t="s">
        <v>799</v>
      </c>
      <c r="B947" t="s">
        <v>1514</v>
      </c>
      <c r="C947" t="s">
        <v>254</v>
      </c>
    </row>
    <row r="948" spans="1:3" x14ac:dyDescent="0.2">
      <c r="A948" t="s">
        <v>888</v>
      </c>
      <c r="B948" t="s">
        <v>1514</v>
      </c>
      <c r="C948" t="s">
        <v>889</v>
      </c>
    </row>
    <row r="949" spans="1:3" x14ac:dyDescent="0.2">
      <c r="A949" t="s">
        <v>380</v>
      </c>
      <c r="B949" t="s">
        <v>1514</v>
      </c>
      <c r="C949" t="s">
        <v>381</v>
      </c>
    </row>
    <row r="950" spans="1:3" x14ac:dyDescent="0.2">
      <c r="A950" t="s">
        <v>629</v>
      </c>
      <c r="B950" t="s">
        <v>1514</v>
      </c>
      <c r="C950" t="s">
        <v>630</v>
      </c>
    </row>
    <row r="951" spans="1:3" x14ac:dyDescent="0.2">
      <c r="A951" t="s">
        <v>417</v>
      </c>
      <c r="B951" t="s">
        <v>1515</v>
      </c>
      <c r="C951" t="s">
        <v>66</v>
      </c>
    </row>
    <row r="952" spans="1:3" x14ac:dyDescent="0.2">
      <c r="A952" t="s">
        <v>400</v>
      </c>
      <c r="B952" t="s">
        <v>1516</v>
      </c>
      <c r="C952" t="s">
        <v>240</v>
      </c>
    </row>
    <row r="953" spans="1:3" x14ac:dyDescent="0.2">
      <c r="A953" t="s">
        <v>338</v>
      </c>
      <c r="B953" t="s">
        <v>1516</v>
      </c>
      <c r="C953" t="s">
        <v>229</v>
      </c>
    </row>
    <row r="954" spans="1:3" x14ac:dyDescent="0.2">
      <c r="A954" t="s">
        <v>339</v>
      </c>
      <c r="B954" t="s">
        <v>1516</v>
      </c>
      <c r="C954" t="s">
        <v>324</v>
      </c>
    </row>
    <row r="955" spans="1:3" x14ac:dyDescent="0.2">
      <c r="A955" t="s">
        <v>84</v>
      </c>
      <c r="B955" t="s">
        <v>1517</v>
      </c>
      <c r="C955" t="s">
        <v>42</v>
      </c>
    </row>
    <row r="956" spans="1:3" x14ac:dyDescent="0.2">
      <c r="A956" t="s">
        <v>57</v>
      </c>
      <c r="B956" t="s">
        <v>1517</v>
      </c>
      <c r="C956" t="s">
        <v>58</v>
      </c>
    </row>
    <row r="957" spans="1:3" x14ac:dyDescent="0.2">
      <c r="A957" t="s">
        <v>81</v>
      </c>
      <c r="B957" t="s">
        <v>1517</v>
      </c>
      <c r="C957" t="s">
        <v>48</v>
      </c>
    </row>
    <row r="958" spans="1:3" x14ac:dyDescent="0.2">
      <c r="A958" t="s">
        <v>333</v>
      </c>
      <c r="B958" t="s">
        <v>1517</v>
      </c>
      <c r="C958" t="s">
        <v>332</v>
      </c>
    </row>
    <row r="959" spans="1:3" x14ac:dyDescent="0.2">
      <c r="A959" t="s">
        <v>335</v>
      </c>
      <c r="B959" t="s">
        <v>1517</v>
      </c>
      <c r="C959" t="s">
        <v>334</v>
      </c>
    </row>
    <row r="960" spans="1:3" x14ac:dyDescent="0.2">
      <c r="A960" t="s">
        <v>336</v>
      </c>
      <c r="B960" t="s">
        <v>1517</v>
      </c>
      <c r="C960" t="s">
        <v>334</v>
      </c>
    </row>
    <row r="961" spans="1:3" x14ac:dyDescent="0.2">
      <c r="A961" t="s">
        <v>769</v>
      </c>
      <c r="B961" t="s">
        <v>1517</v>
      </c>
      <c r="C961" t="s">
        <v>708</v>
      </c>
    </row>
    <row r="962" spans="1:3" x14ac:dyDescent="0.2">
      <c r="A962" t="s">
        <v>770</v>
      </c>
      <c r="B962" t="s">
        <v>1517</v>
      </c>
      <c r="C962" t="s">
        <v>626</v>
      </c>
    </row>
    <row r="963" spans="1:3" x14ac:dyDescent="0.2">
      <c r="A963" t="s">
        <v>841</v>
      </c>
      <c r="B963" t="s">
        <v>1518</v>
      </c>
      <c r="C963" t="s">
        <v>626</v>
      </c>
    </row>
    <row r="964" spans="1:3" x14ac:dyDescent="0.2">
      <c r="A964" t="s">
        <v>60</v>
      </c>
      <c r="B964" t="s">
        <v>1518</v>
      </c>
      <c r="C964" t="s">
        <v>26</v>
      </c>
    </row>
    <row r="965" spans="1:3" x14ac:dyDescent="0.2">
      <c r="A965" t="s">
        <v>83</v>
      </c>
      <c r="B965" t="s">
        <v>1518</v>
      </c>
      <c r="C965" t="s">
        <v>42</v>
      </c>
    </row>
    <row r="966" spans="1:3" x14ac:dyDescent="0.2">
      <c r="A966" t="s">
        <v>82</v>
      </c>
      <c r="B966" t="s">
        <v>1518</v>
      </c>
      <c r="C966" t="s">
        <v>48</v>
      </c>
    </row>
    <row r="967" spans="1:3" x14ac:dyDescent="0.2">
      <c r="A967" t="s">
        <v>62</v>
      </c>
      <c r="B967" t="s">
        <v>1518</v>
      </c>
      <c r="C967" t="s">
        <v>51</v>
      </c>
    </row>
    <row r="968" spans="1:3" x14ac:dyDescent="0.2">
      <c r="A968" t="s">
        <v>64</v>
      </c>
      <c r="B968" t="s">
        <v>1518</v>
      </c>
      <c r="C968" t="s">
        <v>54</v>
      </c>
    </row>
    <row r="969" spans="1:3" x14ac:dyDescent="0.2">
      <c r="A969" t="s">
        <v>773</v>
      </c>
      <c r="B969" t="s">
        <v>1518</v>
      </c>
      <c r="C969" t="s">
        <v>772</v>
      </c>
    </row>
    <row r="970" spans="1:3" x14ac:dyDescent="0.2">
      <c r="A970" t="s">
        <v>840</v>
      </c>
      <c r="B970" t="s">
        <v>1518</v>
      </c>
      <c r="C970" t="s">
        <v>708</v>
      </c>
    </row>
    <row r="971" spans="1:3" x14ac:dyDescent="0.2">
      <c r="A971" t="s">
        <v>473</v>
      </c>
      <c r="B971" s="21" t="s">
        <v>932</v>
      </c>
    </row>
    <row r="972" spans="1:3" x14ac:dyDescent="0.2">
      <c r="A972" t="s">
        <v>474</v>
      </c>
      <c r="B972" s="21" t="s">
        <v>932</v>
      </c>
    </row>
    <row r="973" spans="1:3" x14ac:dyDescent="0.2">
      <c r="A973" t="s">
        <v>476</v>
      </c>
      <c r="B973" s="21" t="s">
        <v>932</v>
      </c>
    </row>
    <row r="974" spans="1:3" x14ac:dyDescent="0.2">
      <c r="A974" t="s">
        <v>491</v>
      </c>
      <c r="B974" s="21" t="s">
        <v>932</v>
      </c>
    </row>
    <row r="975" spans="1:3" x14ac:dyDescent="0.2">
      <c r="A975" t="s">
        <v>653</v>
      </c>
      <c r="B975" s="21" t="s">
        <v>932</v>
      </c>
    </row>
    <row r="976" spans="1:3" x14ac:dyDescent="0.2">
      <c r="A976" t="s">
        <v>608</v>
      </c>
      <c r="B976" s="21" t="s">
        <v>932</v>
      </c>
    </row>
    <row r="977" spans="1:2" x14ac:dyDescent="0.2">
      <c r="A977" t="s">
        <v>479</v>
      </c>
      <c r="B977" s="21" t="s">
        <v>932</v>
      </c>
    </row>
    <row r="978" spans="1:2" x14ac:dyDescent="0.2">
      <c r="A978" t="s">
        <v>712</v>
      </c>
      <c r="B978" s="21" t="s">
        <v>932</v>
      </c>
    </row>
    <row r="979" spans="1:2" x14ac:dyDescent="0.2">
      <c r="A979" t="s">
        <v>649</v>
      </c>
      <c r="B979" s="21" t="s">
        <v>932</v>
      </c>
    </row>
    <row r="980" spans="1:2" x14ac:dyDescent="0.2">
      <c r="A980" t="s">
        <v>355</v>
      </c>
      <c r="B980" s="28" t="s">
        <v>947</v>
      </c>
    </row>
    <row r="981" spans="1:2" x14ac:dyDescent="0.2">
      <c r="A981" t="s">
        <v>358</v>
      </c>
      <c r="B981" s="28" t="s">
        <v>947</v>
      </c>
    </row>
    <row r="982" spans="1:2" x14ac:dyDescent="0.2">
      <c r="A982" t="s">
        <v>352</v>
      </c>
      <c r="B982" s="28" t="s">
        <v>947</v>
      </c>
    </row>
    <row r="983" spans="1:2" x14ac:dyDescent="0.2">
      <c r="A983" t="s">
        <v>255</v>
      </c>
      <c r="B983" s="28" t="s">
        <v>947</v>
      </c>
    </row>
    <row r="984" spans="1:2" x14ac:dyDescent="0.2">
      <c r="A984" t="s">
        <v>617</v>
      </c>
      <c r="B984" s="28" t="s">
        <v>947</v>
      </c>
    </row>
    <row r="985" spans="1:2" x14ac:dyDescent="0.2">
      <c r="A985" t="s">
        <v>41</v>
      </c>
      <c r="B985" s="28" t="s">
        <v>999</v>
      </c>
    </row>
    <row r="986" spans="1:2" x14ac:dyDescent="0.2">
      <c r="A986" t="s">
        <v>339</v>
      </c>
      <c r="B986" s="28" t="s">
        <v>1057</v>
      </c>
    </row>
    <row r="987" spans="1:2" x14ac:dyDescent="0.2">
      <c r="A987" t="s">
        <v>375</v>
      </c>
      <c r="B987" s="28" t="s">
        <v>1017</v>
      </c>
    </row>
    <row r="988" spans="1:2" x14ac:dyDescent="0.2">
      <c r="A988" t="s">
        <v>400</v>
      </c>
      <c r="B988" s="28" t="s">
        <v>1057</v>
      </c>
    </row>
    <row r="989" spans="1:2" x14ac:dyDescent="0.2">
      <c r="A989" t="s">
        <v>497</v>
      </c>
      <c r="B989" s="28" t="s">
        <v>1009</v>
      </c>
    </row>
    <row r="990" spans="1:2" x14ac:dyDescent="0.2">
      <c r="A990" t="s">
        <v>569</v>
      </c>
      <c r="B990" s="28" t="s">
        <v>1091</v>
      </c>
    </row>
    <row r="991" spans="1:2" x14ac:dyDescent="0.2">
      <c r="A991" t="s">
        <v>552</v>
      </c>
      <c r="B991" s="28" t="s">
        <v>1116</v>
      </c>
    </row>
    <row r="992" spans="1:2" x14ac:dyDescent="0.2">
      <c r="A992" t="s">
        <v>341</v>
      </c>
      <c r="B992" s="28" t="s">
        <v>1116</v>
      </c>
    </row>
    <row r="993" spans="1:2" x14ac:dyDescent="0.2">
      <c r="A993" t="s">
        <v>250</v>
      </c>
      <c r="B993" s="28" t="s">
        <v>1017</v>
      </c>
    </row>
    <row r="994" spans="1:2" x14ac:dyDescent="0.2">
      <c r="A994" t="s">
        <v>249</v>
      </c>
      <c r="B994" s="28" t="s">
        <v>1017</v>
      </c>
    </row>
    <row r="995" spans="1:2" x14ac:dyDescent="0.2">
      <c r="A995" t="s">
        <v>689</v>
      </c>
      <c r="B995" s="28" t="s">
        <v>1141</v>
      </c>
    </row>
    <row r="996" spans="1:2" x14ac:dyDescent="0.2">
      <c r="A996" t="s">
        <v>137</v>
      </c>
      <c r="B996" s="28" t="s">
        <v>970</v>
      </c>
    </row>
    <row r="997" spans="1:2" x14ac:dyDescent="0.2">
      <c r="A997" t="s">
        <v>539</v>
      </c>
      <c r="B997" s="28" t="s">
        <v>1147</v>
      </c>
    </row>
    <row r="998" spans="1:2" x14ac:dyDescent="0.2">
      <c r="A998" t="s">
        <v>429</v>
      </c>
      <c r="B998" s="28" t="s">
        <v>1079</v>
      </c>
    </row>
    <row r="999" spans="1:2" x14ac:dyDescent="0.2">
      <c r="A999" t="s">
        <v>80</v>
      </c>
      <c r="B999" s="28" t="s">
        <v>999</v>
      </c>
    </row>
    <row r="1000" spans="1:2" x14ac:dyDescent="0.2">
      <c r="A1000" t="s">
        <v>197</v>
      </c>
      <c r="B1000" s="28" t="s">
        <v>1017</v>
      </c>
    </row>
    <row r="1001" spans="1:2" x14ac:dyDescent="0.2">
      <c r="A1001" t="s">
        <v>230</v>
      </c>
      <c r="B1001" s="28" t="s">
        <v>1017</v>
      </c>
    </row>
    <row r="1002" spans="1:2" x14ac:dyDescent="0.2">
      <c r="A1002" t="s">
        <v>556</v>
      </c>
      <c r="B1002" s="28" t="s">
        <v>1185</v>
      </c>
    </row>
    <row r="1003" spans="1:2" x14ac:dyDescent="0.2">
      <c r="A1003" t="s">
        <v>557</v>
      </c>
      <c r="B1003" s="28" t="s">
        <v>1185</v>
      </c>
    </row>
    <row r="1004" spans="1:2" x14ac:dyDescent="0.2">
      <c r="A1004" t="s">
        <v>340</v>
      </c>
      <c r="B1004" s="28" t="s">
        <v>1116</v>
      </c>
    </row>
    <row r="1005" spans="1:2" x14ac:dyDescent="0.2">
      <c r="A1005" t="s">
        <v>707</v>
      </c>
      <c r="B1005" s="28" t="s">
        <v>1141</v>
      </c>
    </row>
    <row r="1006" spans="1:2" x14ac:dyDescent="0.2">
      <c r="A1006" t="s">
        <v>735</v>
      </c>
      <c r="B1006" s="28" t="s">
        <v>1147</v>
      </c>
    </row>
    <row r="1007" spans="1:2" x14ac:dyDescent="0.2">
      <c r="A1007" t="s">
        <v>338</v>
      </c>
      <c r="B1007" s="28" t="s">
        <v>1057</v>
      </c>
    </row>
    <row r="1008" spans="1:2" x14ac:dyDescent="0.2">
      <c r="A1008" t="s">
        <v>198</v>
      </c>
      <c r="B1008" s="28" t="s">
        <v>1185</v>
      </c>
    </row>
    <row r="1009" spans="1:2" x14ac:dyDescent="0.2">
      <c r="A1009" t="s">
        <v>663</v>
      </c>
      <c r="B1009" s="28" t="s">
        <v>1009</v>
      </c>
    </row>
    <row r="1010" spans="1:2" x14ac:dyDescent="0.2">
      <c r="A1010" t="s">
        <v>665</v>
      </c>
      <c r="B1010" s="28" t="s">
        <v>1009</v>
      </c>
    </row>
    <row r="1011" spans="1:2" x14ac:dyDescent="0.2">
      <c r="A1011" t="s">
        <v>667</v>
      </c>
      <c r="B1011" s="28" t="s">
        <v>1009</v>
      </c>
    </row>
    <row r="1012" spans="1:2" x14ac:dyDescent="0.2">
      <c r="A1012" t="s">
        <v>295</v>
      </c>
      <c r="B1012" s="28" t="s">
        <v>1015</v>
      </c>
    </row>
    <row r="1013" spans="1:2" x14ac:dyDescent="0.2">
      <c r="A1013" t="s">
        <v>628</v>
      </c>
      <c r="B1013" s="28" t="s">
        <v>1015</v>
      </c>
    </row>
    <row r="1014" spans="1:2" x14ac:dyDescent="0.2">
      <c r="A1014" t="s">
        <v>670</v>
      </c>
      <c r="B1014" s="28" t="s">
        <v>1141</v>
      </c>
    </row>
    <row r="1015" spans="1:2" x14ac:dyDescent="0.2">
      <c r="A1015" t="s">
        <v>669</v>
      </c>
      <c r="B1015" s="28" t="s">
        <v>1141</v>
      </c>
    </row>
    <row r="1016" spans="1:2" x14ac:dyDescent="0.2">
      <c r="A1016" t="s">
        <v>643</v>
      </c>
      <c r="B1016" s="28" t="s">
        <v>1009</v>
      </c>
    </row>
    <row r="1017" spans="1:2" x14ac:dyDescent="0.2">
      <c r="A1017" t="s">
        <v>644</v>
      </c>
      <c r="B1017" s="28" t="s">
        <v>1009</v>
      </c>
    </row>
    <row r="1018" spans="1:2" x14ac:dyDescent="0.2">
      <c r="A1018" t="s">
        <v>739</v>
      </c>
      <c r="B1018" s="28" t="s">
        <v>1147</v>
      </c>
    </row>
    <row r="1019" spans="1:2" x14ac:dyDescent="0.2">
      <c r="A1019" t="s">
        <v>736</v>
      </c>
      <c r="B1019" s="28" t="s">
        <v>1147</v>
      </c>
    </row>
    <row r="1020" spans="1:2" x14ac:dyDescent="0.2">
      <c r="A1020" t="s">
        <v>738</v>
      </c>
      <c r="B1020" s="28" t="s">
        <v>1147</v>
      </c>
    </row>
    <row r="1021" spans="1:2" x14ac:dyDescent="0.2">
      <c r="A1021" t="s">
        <v>145</v>
      </c>
      <c r="B1021" s="28" t="s">
        <v>1091</v>
      </c>
    </row>
    <row r="1022" spans="1:2" x14ac:dyDescent="0.2">
      <c r="A1022" t="s">
        <v>147</v>
      </c>
      <c r="B1022" s="28" t="s">
        <v>1091</v>
      </c>
    </row>
    <row r="1023" spans="1:2" x14ac:dyDescent="0.2">
      <c r="A1023" t="s">
        <v>149</v>
      </c>
      <c r="B1023" s="28" t="s">
        <v>1091</v>
      </c>
    </row>
    <row r="1024" spans="1:2" x14ac:dyDescent="0.2">
      <c r="A1024" t="s">
        <v>195</v>
      </c>
      <c r="B1024" s="28" t="s">
        <v>947</v>
      </c>
    </row>
    <row r="1025" spans="1:2" x14ac:dyDescent="0.2">
      <c r="A1025" t="s">
        <v>200</v>
      </c>
      <c r="B1025" s="28" t="s">
        <v>1091</v>
      </c>
    </row>
    <row r="1026" spans="1:2" x14ac:dyDescent="0.2">
      <c r="A1026" t="s">
        <v>453</v>
      </c>
      <c r="B1026" s="28" t="s">
        <v>1009</v>
      </c>
    </row>
    <row r="1027" spans="1:2" x14ac:dyDescent="0.2">
      <c r="A1027" t="s">
        <v>671</v>
      </c>
      <c r="B1027" s="28" t="s">
        <v>1283</v>
      </c>
    </row>
    <row r="1028" spans="1:2" x14ac:dyDescent="0.2">
      <c r="A1028" t="s">
        <v>1285</v>
      </c>
      <c r="B1028" s="28" t="s">
        <v>1017</v>
      </c>
    </row>
    <row r="1029" spans="1:2" x14ac:dyDescent="0.2">
      <c r="A1029" t="s">
        <v>1287</v>
      </c>
      <c r="B1029" s="28" t="s">
        <v>1017</v>
      </c>
    </row>
    <row r="1030" spans="1:2" x14ac:dyDescent="0.2">
      <c r="A1030" t="s">
        <v>464</v>
      </c>
      <c r="B1030" s="28" t="s">
        <v>1091</v>
      </c>
    </row>
    <row r="1031" spans="1:2" x14ac:dyDescent="0.2">
      <c r="A1031" t="s">
        <v>319</v>
      </c>
      <c r="B1031" s="28" t="s">
        <v>1091</v>
      </c>
    </row>
    <row r="1032" spans="1:2" x14ac:dyDescent="0.2">
      <c r="A1032" t="s">
        <v>151</v>
      </c>
      <c r="B1032" s="28" t="s">
        <v>1091</v>
      </c>
    </row>
    <row r="1033" spans="1:2" x14ac:dyDescent="0.2">
      <c r="A1033" t="s">
        <v>687</v>
      </c>
      <c r="B1033" s="28" t="s">
        <v>1017</v>
      </c>
    </row>
    <row r="1034" spans="1:2" x14ac:dyDescent="0.2">
      <c r="A1034" t="s">
        <v>390</v>
      </c>
      <c r="B1034" s="28" t="s">
        <v>1091</v>
      </c>
    </row>
    <row r="1035" spans="1:2" x14ac:dyDescent="0.2">
      <c r="A1035" t="s">
        <v>227</v>
      </c>
      <c r="B1035" s="28" t="s">
        <v>1017</v>
      </c>
    </row>
    <row r="1036" spans="1:2" x14ac:dyDescent="0.2">
      <c r="A1036" t="s">
        <v>276</v>
      </c>
      <c r="B1036" s="28" t="s">
        <v>947</v>
      </c>
    </row>
    <row r="1037" spans="1:2" x14ac:dyDescent="0.2">
      <c r="A1037" t="s">
        <v>55</v>
      </c>
      <c r="B1037" s="28" t="s">
        <v>1007</v>
      </c>
    </row>
    <row r="1038" spans="1:2" x14ac:dyDescent="0.2">
      <c r="A1038" t="s">
        <v>421</v>
      </c>
      <c r="B1038" s="28" t="s">
        <v>947</v>
      </c>
    </row>
    <row r="1039" spans="1:2" x14ac:dyDescent="0.2">
      <c r="A1039" t="s">
        <v>424</v>
      </c>
      <c r="B1039" s="28" t="s">
        <v>947</v>
      </c>
    </row>
    <row r="1040" spans="1:2" x14ac:dyDescent="0.2">
      <c r="A1040" t="s">
        <v>419</v>
      </c>
      <c r="B1040" s="28" t="s">
        <v>947</v>
      </c>
    </row>
    <row r="1041" spans="1:2" x14ac:dyDescent="0.2">
      <c r="A1041" t="s">
        <v>284</v>
      </c>
      <c r="B1041" s="28" t="s">
        <v>970</v>
      </c>
    </row>
    <row r="1042" spans="1:2" x14ac:dyDescent="0.2">
      <c r="A1042" t="s">
        <v>292</v>
      </c>
      <c r="B1042" s="28" t="s">
        <v>970</v>
      </c>
    </row>
    <row r="1043" spans="1:2" x14ac:dyDescent="0.2">
      <c r="A1043" t="s">
        <v>403</v>
      </c>
      <c r="B1043" s="28" t="s">
        <v>970</v>
      </c>
    </row>
    <row r="1044" spans="1:2" x14ac:dyDescent="0.2">
      <c r="A1044" t="s">
        <v>647</v>
      </c>
      <c r="B1044" s="28" t="s">
        <v>1009</v>
      </c>
    </row>
    <row r="1045" spans="1:2" x14ac:dyDescent="0.2">
      <c r="A1045" t="s">
        <v>648</v>
      </c>
      <c r="B1045" s="28" t="s">
        <v>1009</v>
      </c>
    </row>
    <row r="1046" spans="1:2" x14ac:dyDescent="0.2">
      <c r="A1046" t="s">
        <v>134</v>
      </c>
      <c r="B1046" s="28" t="s">
        <v>1013</v>
      </c>
    </row>
    <row r="1047" spans="1:2" x14ac:dyDescent="0.2">
      <c r="A1047" t="s">
        <v>813</v>
      </c>
      <c r="B1047" s="28" t="s">
        <v>1013</v>
      </c>
    </row>
    <row r="1048" spans="1:2" x14ac:dyDescent="0.2">
      <c r="A1048" t="s">
        <v>333</v>
      </c>
      <c r="B1048" s="28" t="s">
        <v>1006</v>
      </c>
    </row>
    <row r="1049" spans="1:2" x14ac:dyDescent="0.2">
      <c r="A1049" t="s">
        <v>457</v>
      </c>
      <c r="B1049" s="28" t="s">
        <v>1497</v>
      </c>
    </row>
    <row r="1050" spans="1:2" x14ac:dyDescent="0.2">
      <c r="A1050" t="s">
        <v>517</v>
      </c>
      <c r="B1050" s="28" t="s">
        <v>1497</v>
      </c>
    </row>
    <row r="1051" spans="1:2" x14ac:dyDescent="0.2">
      <c r="A1051" t="s">
        <v>520</v>
      </c>
      <c r="B1051" s="28" t="s">
        <v>1497</v>
      </c>
    </row>
    <row r="1052" spans="1:2" x14ac:dyDescent="0.2">
      <c r="A1052" t="s">
        <v>521</v>
      </c>
      <c r="B1052" s="28" t="s">
        <v>1497</v>
      </c>
    </row>
    <row r="1053" spans="1:2" x14ac:dyDescent="0.2">
      <c r="A1053" t="s">
        <v>527</v>
      </c>
      <c r="B1053" s="28" t="s">
        <v>1497</v>
      </c>
    </row>
    <row r="1054" spans="1:2" x14ac:dyDescent="0.2">
      <c r="A1054" t="s">
        <v>518</v>
      </c>
      <c r="B1054" s="28" t="s">
        <v>1497</v>
      </c>
    </row>
    <row r="1055" spans="1:2" x14ac:dyDescent="0.2">
      <c r="A1055" t="s">
        <v>825</v>
      </c>
      <c r="B1055" s="28" t="s">
        <v>1497</v>
      </c>
    </row>
    <row r="1056" spans="1:2" x14ac:dyDescent="0.2">
      <c r="A1056" t="s">
        <v>519</v>
      </c>
      <c r="B1056" s="28" t="s">
        <v>1497</v>
      </c>
    </row>
    <row r="1057" spans="1:2" x14ac:dyDescent="0.2">
      <c r="A1057" t="s">
        <v>454</v>
      </c>
      <c r="B1057" s="28" t="s">
        <v>1501</v>
      </c>
    </row>
    <row r="1058" spans="1:2" x14ac:dyDescent="0.2">
      <c r="A1058" t="s">
        <v>675</v>
      </c>
      <c r="B1058" s="28" t="s">
        <v>1501</v>
      </c>
    </row>
    <row r="1059" spans="1:2" x14ac:dyDescent="0.2">
      <c r="A1059" t="s">
        <v>456</v>
      </c>
      <c r="B1059" s="28" t="s">
        <v>1009</v>
      </c>
    </row>
    <row r="1060" spans="1:2" x14ac:dyDescent="0.2">
      <c r="A1060" t="s">
        <v>674</v>
      </c>
      <c r="B1060" s="28" t="s">
        <v>1009</v>
      </c>
    </row>
    <row r="1061" spans="1:2" x14ac:dyDescent="0.2">
      <c r="A1061" t="s">
        <v>526</v>
      </c>
      <c r="B1061" s="28" t="s">
        <v>1009</v>
      </c>
    </row>
    <row r="1062" spans="1:2" x14ac:dyDescent="0.2">
      <c r="A1062" t="s">
        <v>529</v>
      </c>
      <c r="B1062" s="28" t="s">
        <v>1009</v>
      </c>
    </row>
    <row r="1063" spans="1:2" x14ac:dyDescent="0.2">
      <c r="A1063" t="s">
        <v>530</v>
      </c>
      <c r="B1063" s="28" t="s">
        <v>1009</v>
      </c>
    </row>
    <row r="1064" spans="1:2" x14ac:dyDescent="0.2">
      <c r="A1064" t="s">
        <v>432</v>
      </c>
      <c r="B1064" s="28" t="s">
        <v>1079</v>
      </c>
    </row>
    <row r="1065" spans="1:2" x14ac:dyDescent="0.2">
      <c r="A1065" t="s">
        <v>636</v>
      </c>
      <c r="B1065" s="28" t="s">
        <v>1079</v>
      </c>
    </row>
    <row r="1066" spans="1:2" x14ac:dyDescent="0.2">
      <c r="A1066" t="s">
        <v>638</v>
      </c>
      <c r="B1066" s="28" t="s">
        <v>1079</v>
      </c>
    </row>
    <row r="1067" spans="1:2" x14ac:dyDescent="0.2">
      <c r="A1067" t="s">
        <v>642</v>
      </c>
      <c r="B1067" s="28" t="s">
        <v>1079</v>
      </c>
    </row>
    <row r="1068" spans="1:2" x14ac:dyDescent="0.2">
      <c r="A1068" t="s">
        <v>409</v>
      </c>
      <c r="B1068" s="28" t="s">
        <v>970</v>
      </c>
    </row>
    <row r="1069" spans="1:2" x14ac:dyDescent="0.2">
      <c r="A1069" t="s">
        <v>412</v>
      </c>
      <c r="B1069" s="28" t="s">
        <v>970</v>
      </c>
    </row>
    <row r="1070" spans="1:2" x14ac:dyDescent="0.2">
      <c r="A1070" t="s">
        <v>566</v>
      </c>
      <c r="B1070" s="28" t="s">
        <v>970</v>
      </c>
    </row>
    <row r="1071" spans="1:2" x14ac:dyDescent="0.2">
      <c r="A1071" t="s">
        <v>1704</v>
      </c>
      <c r="B1071" s="28" t="s">
        <v>970</v>
      </c>
    </row>
    <row r="1072" spans="1:2" x14ac:dyDescent="0.2">
      <c r="A1072" t="s">
        <v>155</v>
      </c>
      <c r="B1072" s="28" t="s">
        <v>970</v>
      </c>
    </row>
    <row r="1073" spans="1:2" x14ac:dyDescent="0.2">
      <c r="A1073" t="s">
        <v>613</v>
      </c>
      <c r="B1073" s="28" t="s">
        <v>970</v>
      </c>
    </row>
    <row r="1074" spans="1:2" x14ac:dyDescent="0.2">
      <c r="A1074" t="s">
        <v>766</v>
      </c>
      <c r="B1074" s="28" t="s">
        <v>1007</v>
      </c>
    </row>
    <row r="1075" spans="1:2" x14ac:dyDescent="0.2">
      <c r="A1075" t="s">
        <v>768</v>
      </c>
      <c r="B1075" s="28" t="s">
        <v>1007</v>
      </c>
    </row>
    <row r="1076" spans="1:2" x14ac:dyDescent="0.2">
      <c r="A1076" t="s">
        <v>540</v>
      </c>
      <c r="B1076" s="28" t="s">
        <v>1007</v>
      </c>
    </row>
    <row r="1077" spans="1:2" x14ac:dyDescent="0.2">
      <c r="A1077" t="s">
        <v>1407</v>
      </c>
      <c r="B1077" s="28" t="s">
        <v>1015</v>
      </c>
    </row>
    <row r="1078" spans="1:2" x14ac:dyDescent="0.2">
      <c r="A1078" t="s">
        <v>615</v>
      </c>
      <c r="B1078" s="28" t="s">
        <v>970</v>
      </c>
    </row>
    <row r="1079" spans="1:2" x14ac:dyDescent="0.2">
      <c r="A1079" t="s">
        <v>1318</v>
      </c>
      <c r="B1079" s="28" t="s">
        <v>970</v>
      </c>
    </row>
    <row r="1080" spans="1:2" x14ac:dyDescent="0.2">
      <c r="A1080" t="s">
        <v>289</v>
      </c>
      <c r="B1080" s="28" t="s">
        <v>970</v>
      </c>
    </row>
    <row r="1081" spans="1:2" x14ac:dyDescent="0.2">
      <c r="A1081" t="s">
        <v>290</v>
      </c>
      <c r="B1081" s="28" t="s">
        <v>970</v>
      </c>
    </row>
    <row r="1082" spans="1:2" x14ac:dyDescent="0.2">
      <c r="A1082" t="s">
        <v>1682</v>
      </c>
      <c r="B1082" s="28" t="s">
        <v>1497</v>
      </c>
    </row>
    <row r="1083" spans="1:2" x14ac:dyDescent="0.2">
      <c r="A1083" t="s">
        <v>803</v>
      </c>
      <c r="B1083" s="28" t="s">
        <v>1015</v>
      </c>
    </row>
    <row r="1084" spans="1:2" x14ac:dyDescent="0.2">
      <c r="A1084" t="s">
        <v>844</v>
      </c>
      <c r="B1084" s="28" t="s">
        <v>947</v>
      </c>
    </row>
    <row r="1085" spans="1:2" x14ac:dyDescent="0.2">
      <c r="A1085" t="s">
        <v>182</v>
      </c>
      <c r="B1085" s="28" t="s">
        <v>970</v>
      </c>
    </row>
    <row r="1086" spans="1:2" x14ac:dyDescent="0.2">
      <c r="A1086" t="s">
        <v>850</v>
      </c>
      <c r="B1086" s="28" t="s">
        <v>970</v>
      </c>
    </row>
    <row r="1087" spans="1:2" x14ac:dyDescent="0.2">
      <c r="A1087" t="s">
        <v>853</v>
      </c>
      <c r="B1087" s="28" t="s">
        <v>970</v>
      </c>
    </row>
    <row r="1088" spans="1:2" x14ac:dyDescent="0.2">
      <c r="A1088" t="s">
        <v>784</v>
      </c>
      <c r="B1088" s="28" t="s">
        <v>970</v>
      </c>
    </row>
    <row r="1089" spans="1:2" x14ac:dyDescent="0.2">
      <c r="A1089" t="s">
        <v>112</v>
      </c>
      <c r="B1089" s="28" t="s">
        <v>970</v>
      </c>
    </row>
    <row r="1090" spans="1:2" x14ac:dyDescent="0.2">
      <c r="A1090" t="s">
        <v>114</v>
      </c>
      <c r="B1090" s="28" t="s">
        <v>970</v>
      </c>
    </row>
    <row r="1091" spans="1:2" x14ac:dyDescent="0.2">
      <c r="A1091" t="s">
        <v>775</v>
      </c>
      <c r="B1091" s="28" t="s">
        <v>970</v>
      </c>
    </row>
    <row r="1092" spans="1:2" x14ac:dyDescent="0.2">
      <c r="A1092" t="s">
        <v>780</v>
      </c>
      <c r="B1092" s="28" t="s">
        <v>970</v>
      </c>
    </row>
    <row r="1093" spans="1:2" x14ac:dyDescent="0.2">
      <c r="A1093" t="s">
        <v>171</v>
      </c>
      <c r="B1093" s="28" t="s">
        <v>970</v>
      </c>
    </row>
    <row r="1094" spans="1:2" x14ac:dyDescent="0.2">
      <c r="A1094" t="s">
        <v>172</v>
      </c>
      <c r="B1094" s="28" t="s">
        <v>970</v>
      </c>
    </row>
    <row r="1095" spans="1:2" x14ac:dyDescent="0.2">
      <c r="A1095" t="s">
        <v>166</v>
      </c>
      <c r="B1095" s="28" t="s">
        <v>970</v>
      </c>
    </row>
    <row r="1096" spans="1:2" x14ac:dyDescent="0.2">
      <c r="A1096" t="s">
        <v>159</v>
      </c>
      <c r="B1096" s="28" t="s">
        <v>970</v>
      </c>
    </row>
    <row r="1097" spans="1:2" x14ac:dyDescent="0.2">
      <c r="A1097" t="s">
        <v>177</v>
      </c>
      <c r="B1097" s="28" t="s">
        <v>970</v>
      </c>
    </row>
    <row r="1098" spans="1:2" x14ac:dyDescent="0.2">
      <c r="A1098" t="s">
        <v>789</v>
      </c>
      <c r="B1098" s="28" t="s">
        <v>970</v>
      </c>
    </row>
    <row r="1099" spans="1:2" x14ac:dyDescent="0.2">
      <c r="A1099" t="s">
        <v>794</v>
      </c>
      <c r="B1099" s="28" t="s">
        <v>970</v>
      </c>
    </row>
    <row r="1100" spans="1:2" x14ac:dyDescent="0.2">
      <c r="A1100" t="s">
        <v>809</v>
      </c>
      <c r="B1100" s="28" t="s">
        <v>970</v>
      </c>
    </row>
    <row r="1101" spans="1:2" x14ac:dyDescent="0.2">
      <c r="A1101" t="s">
        <v>846</v>
      </c>
      <c r="B1101" s="28" t="s">
        <v>970</v>
      </c>
    </row>
    <row r="1102" spans="1:2" x14ac:dyDescent="0.2">
      <c r="A1102" t="s">
        <v>64</v>
      </c>
      <c r="B1102" s="28" t="s">
        <v>1005</v>
      </c>
    </row>
    <row r="1103" spans="1:2" x14ac:dyDescent="0.2">
      <c r="A1103" t="s">
        <v>840</v>
      </c>
      <c r="B1103" s="28" t="s">
        <v>1005</v>
      </c>
    </row>
    <row r="1104" spans="1:2" x14ac:dyDescent="0.2">
      <c r="A1104" t="s">
        <v>841</v>
      </c>
      <c r="B1104" s="28" t="s">
        <v>1005</v>
      </c>
    </row>
    <row r="1105" spans="1:2" x14ac:dyDescent="0.2">
      <c r="A1105" t="s">
        <v>62</v>
      </c>
      <c r="B1105" s="28" t="s">
        <v>1005</v>
      </c>
    </row>
    <row r="1106" spans="1:2" x14ac:dyDescent="0.2">
      <c r="A1106" t="s">
        <v>60</v>
      </c>
      <c r="B1106" s="28" t="s">
        <v>1005</v>
      </c>
    </row>
    <row r="1107" spans="1:2" x14ac:dyDescent="0.2">
      <c r="A1107" t="s">
        <v>773</v>
      </c>
      <c r="B1107" s="28" t="s">
        <v>1005</v>
      </c>
    </row>
    <row r="1108" spans="1:2" x14ac:dyDescent="0.2">
      <c r="A1108" t="s">
        <v>268</v>
      </c>
      <c r="B1108" s="28" t="s">
        <v>947</v>
      </c>
    </row>
    <row r="1109" spans="1:2" x14ac:dyDescent="0.2">
      <c r="A1109" t="s">
        <v>273</v>
      </c>
      <c r="B1109" s="28" t="s">
        <v>947</v>
      </c>
    </row>
    <row r="1110" spans="1:2" x14ac:dyDescent="0.2">
      <c r="A1110" t="s">
        <v>829</v>
      </c>
      <c r="B1110" s="28" t="s">
        <v>947</v>
      </c>
    </row>
    <row r="1111" spans="1:2" x14ac:dyDescent="0.2">
      <c r="A1111" t="s">
        <v>831</v>
      </c>
      <c r="B1111" s="28" t="s">
        <v>947</v>
      </c>
    </row>
    <row r="1112" spans="1:2" x14ac:dyDescent="0.2">
      <c r="A1112" t="s">
        <v>423</v>
      </c>
      <c r="B1112" s="28" t="s">
        <v>947</v>
      </c>
    </row>
    <row r="1113" spans="1:2" x14ac:dyDescent="0.2">
      <c r="A1113" t="s">
        <v>417</v>
      </c>
      <c r="B1113" s="28" t="s">
        <v>1184</v>
      </c>
    </row>
    <row r="1114" spans="1:2" x14ac:dyDescent="0.2">
      <c r="A1114" t="s">
        <v>856</v>
      </c>
      <c r="B1114" s="28" t="s">
        <v>970</v>
      </c>
    </row>
    <row r="1115" spans="1:2" x14ac:dyDescent="0.2">
      <c r="A1115" t="s">
        <v>455</v>
      </c>
      <c r="B1115" s="28" t="s">
        <v>1460</v>
      </c>
    </row>
    <row r="1116" spans="1:2" x14ac:dyDescent="0.2">
      <c r="A1116" t="s">
        <v>748</v>
      </c>
      <c r="B1116" s="28" t="s">
        <v>1460</v>
      </c>
    </row>
    <row r="1117" spans="1:2" x14ac:dyDescent="0.2">
      <c r="A1117" t="s">
        <v>523</v>
      </c>
      <c r="B1117" s="28" t="s">
        <v>1460</v>
      </c>
    </row>
    <row r="1118" spans="1:2" x14ac:dyDescent="0.2">
      <c r="A1118" t="s">
        <v>541</v>
      </c>
      <c r="B1118" s="28" t="s">
        <v>1460</v>
      </c>
    </row>
    <row r="1119" spans="1:2" x14ac:dyDescent="0.2">
      <c r="A1119" t="s">
        <v>534</v>
      </c>
      <c r="B1119" s="28" t="s">
        <v>1460</v>
      </c>
    </row>
    <row r="1120" spans="1:2" x14ac:dyDescent="0.2">
      <c r="A1120" t="s">
        <v>543</v>
      </c>
      <c r="B1120" s="28" t="s">
        <v>1460</v>
      </c>
    </row>
    <row r="1121" spans="1:2" x14ac:dyDescent="0.2">
      <c r="A1121" t="s">
        <v>522</v>
      </c>
      <c r="B1121" s="28" t="s">
        <v>1460</v>
      </c>
    </row>
    <row r="1122" spans="1:2" x14ac:dyDescent="0.2">
      <c r="A1122" t="s">
        <v>749</v>
      </c>
      <c r="B1122" s="28" t="s">
        <v>1460</v>
      </c>
    </row>
    <row r="1123" spans="1:2" x14ac:dyDescent="0.2">
      <c r="A1123" t="s">
        <v>524</v>
      </c>
      <c r="B1123" s="28" t="s">
        <v>1460</v>
      </c>
    </row>
    <row r="1124" spans="1:2" x14ac:dyDescent="0.2">
      <c r="A1124" t="s">
        <v>1673</v>
      </c>
      <c r="B1124" s="28" t="s">
        <v>1460</v>
      </c>
    </row>
    <row r="1125" spans="1:2" x14ac:dyDescent="0.2">
      <c r="A1125" t="s">
        <v>866</v>
      </c>
      <c r="B1125" s="28" t="s">
        <v>947</v>
      </c>
    </row>
    <row r="1126" spans="1:2" x14ac:dyDescent="0.2">
      <c r="A1126" t="s">
        <v>867</v>
      </c>
      <c r="B1126" s="28" t="s">
        <v>947</v>
      </c>
    </row>
    <row r="1127" spans="1:2" x14ac:dyDescent="0.2">
      <c r="A1127" t="s">
        <v>869</v>
      </c>
      <c r="B1127" s="28" t="s">
        <v>947</v>
      </c>
    </row>
    <row r="1128" spans="1:2" x14ac:dyDescent="0.2">
      <c r="A1128" t="s">
        <v>777</v>
      </c>
      <c r="B1128" s="28" t="s">
        <v>970</v>
      </c>
    </row>
    <row r="1129" spans="1:2" x14ac:dyDescent="0.2">
      <c r="A1129" t="s">
        <v>781</v>
      </c>
      <c r="B1129" s="28" t="s">
        <v>970</v>
      </c>
    </row>
    <row r="1130" spans="1:2" x14ac:dyDescent="0.2">
      <c r="A1130" t="s">
        <v>786</v>
      </c>
      <c r="B1130" s="28" t="s">
        <v>970</v>
      </c>
    </row>
    <row r="1131" spans="1:2" x14ac:dyDescent="0.2">
      <c r="A1131" t="s">
        <v>791</v>
      </c>
      <c r="B1131" s="28" t="s">
        <v>970</v>
      </c>
    </row>
    <row r="1132" spans="1:2" x14ac:dyDescent="0.2">
      <c r="A1132" t="s">
        <v>796</v>
      </c>
      <c r="B1132" s="28" t="s">
        <v>970</v>
      </c>
    </row>
    <row r="1133" spans="1:2" x14ac:dyDescent="0.2">
      <c r="A1133" t="s">
        <v>855</v>
      </c>
      <c r="B1133" s="28" t="s">
        <v>947</v>
      </c>
    </row>
    <row r="1134" spans="1:2" x14ac:dyDescent="0.2">
      <c r="A1134" t="s">
        <v>860</v>
      </c>
      <c r="B1134" s="28" t="s">
        <v>970</v>
      </c>
    </row>
    <row r="1135" spans="1:2" x14ac:dyDescent="0.2">
      <c r="A1135" t="s">
        <v>861</v>
      </c>
      <c r="B1135" s="28" t="s">
        <v>970</v>
      </c>
    </row>
    <row r="1136" spans="1:2" x14ac:dyDescent="0.2">
      <c r="A1136" t="s">
        <v>862</v>
      </c>
      <c r="B1136" s="28" t="s">
        <v>970</v>
      </c>
    </row>
    <row r="1137" spans="1:2" x14ac:dyDescent="0.2">
      <c r="A1137" t="s">
        <v>864</v>
      </c>
      <c r="B1137" s="28" t="s">
        <v>970</v>
      </c>
    </row>
    <row r="1138" spans="1:2" x14ac:dyDescent="0.2">
      <c r="A1138" t="s">
        <v>865</v>
      </c>
      <c r="B1138" s="28" t="s">
        <v>970</v>
      </c>
    </row>
    <row r="1139" spans="1:2" x14ac:dyDescent="0.2">
      <c r="A1139" t="s">
        <v>183</v>
      </c>
      <c r="B1139" s="28" t="s">
        <v>970</v>
      </c>
    </row>
    <row r="1140" spans="1:2" x14ac:dyDescent="0.2">
      <c r="A1140" t="s">
        <v>184</v>
      </c>
      <c r="B1140" s="28" t="s">
        <v>970</v>
      </c>
    </row>
    <row r="1141" spans="1:2" x14ac:dyDescent="0.2">
      <c r="A1141" t="s">
        <v>310</v>
      </c>
      <c r="B1141" s="21" t="s">
        <v>932</v>
      </c>
    </row>
    <row r="1142" spans="1:2" x14ac:dyDescent="0.2">
      <c r="A1142" t="s">
        <v>314</v>
      </c>
      <c r="B1142" s="21" t="s">
        <v>932</v>
      </c>
    </row>
    <row r="1143" spans="1:2" x14ac:dyDescent="0.2">
      <c r="A1143" t="s">
        <v>382</v>
      </c>
      <c r="B1143" s="21" t="s">
        <v>932</v>
      </c>
    </row>
    <row r="1144" spans="1:2" x14ac:dyDescent="0.2">
      <c r="A1144" t="s">
        <v>387</v>
      </c>
      <c r="B1144" s="21" t="s">
        <v>932</v>
      </c>
    </row>
    <row r="1145" spans="1:2" x14ac:dyDescent="0.2">
      <c r="A1145" t="s">
        <v>461</v>
      </c>
      <c r="B1145" s="21" t="s">
        <v>932</v>
      </c>
    </row>
    <row r="1146" spans="1:2" x14ac:dyDescent="0.2">
      <c r="A1146" t="s">
        <v>700</v>
      </c>
      <c r="B1146" s="21" t="s">
        <v>932</v>
      </c>
    </row>
    <row r="1147" spans="1:2" x14ac:dyDescent="0.2">
      <c r="A1147" t="s">
        <v>470</v>
      </c>
      <c r="B1147" s="21" t="s">
        <v>932</v>
      </c>
    </row>
    <row r="1148" spans="1:2" x14ac:dyDescent="0.2">
      <c r="A1148" t="s">
        <v>439</v>
      </c>
      <c r="B1148" s="28" t="s">
        <v>1075</v>
      </c>
    </row>
    <row r="1149" spans="1:2" x14ac:dyDescent="0.2">
      <c r="A1149" t="s">
        <v>398</v>
      </c>
      <c r="B1149" s="28" t="s">
        <v>1075</v>
      </c>
    </row>
    <row r="1150" spans="1:2" x14ac:dyDescent="0.2">
      <c r="A1150" t="s">
        <v>395</v>
      </c>
      <c r="B1150" s="28" t="s">
        <v>1075</v>
      </c>
    </row>
    <row r="1151" spans="1:2" x14ac:dyDescent="0.2">
      <c r="A1151" t="s">
        <v>436</v>
      </c>
      <c r="B1151" s="28" t="s">
        <v>1075</v>
      </c>
    </row>
    <row r="1152" spans="1:2" x14ac:dyDescent="0.2">
      <c r="A1152" t="s">
        <v>442</v>
      </c>
      <c r="B1152" s="28" t="s">
        <v>1075</v>
      </c>
    </row>
    <row r="1153" spans="1:2" x14ac:dyDescent="0.2">
      <c r="A1153" t="s">
        <v>619</v>
      </c>
      <c r="B1153" s="28" t="s">
        <v>1075</v>
      </c>
    </row>
    <row r="1154" spans="1:2" x14ac:dyDescent="0.2">
      <c r="A1154" t="s">
        <v>633</v>
      </c>
      <c r="B1154" s="28" t="s">
        <v>1075</v>
      </c>
    </row>
    <row r="1155" spans="1:2" x14ac:dyDescent="0.2">
      <c r="A1155" t="s">
        <v>875</v>
      </c>
      <c r="B1155" s="28" t="s">
        <v>1116</v>
      </c>
    </row>
    <row r="1156" spans="1:2" x14ac:dyDescent="0.2">
      <c r="A1156" t="s">
        <v>602</v>
      </c>
      <c r="B1156" s="21" t="s">
        <v>932</v>
      </c>
    </row>
    <row r="1157" spans="1:2" x14ac:dyDescent="0.2">
      <c r="A1157" t="s">
        <v>482</v>
      </c>
      <c r="B1157" s="21" t="s">
        <v>932</v>
      </c>
    </row>
    <row r="1158" spans="1:2" x14ac:dyDescent="0.2">
      <c r="A1158" t="s">
        <v>485</v>
      </c>
      <c r="B1158" s="21" t="s">
        <v>932</v>
      </c>
    </row>
    <row r="1159" spans="1:2" x14ac:dyDescent="0.2">
      <c r="A1159" t="s">
        <v>489</v>
      </c>
      <c r="B1159" s="21" t="s">
        <v>932</v>
      </c>
    </row>
    <row r="1160" spans="1:2" x14ac:dyDescent="0.2">
      <c r="A1160" t="s">
        <v>274</v>
      </c>
      <c r="B1160" s="28" t="s">
        <v>947</v>
      </c>
    </row>
    <row r="1161" spans="1:2" x14ac:dyDescent="0.2">
      <c r="A1161" t="s">
        <v>187</v>
      </c>
      <c r="B1161" s="28" t="s">
        <v>1075</v>
      </c>
    </row>
    <row r="1162" spans="1:2" x14ac:dyDescent="0.2">
      <c r="A1162" t="s">
        <v>191</v>
      </c>
      <c r="B1162" s="28" t="s">
        <v>1075</v>
      </c>
    </row>
    <row r="1163" spans="1:2" x14ac:dyDescent="0.2">
      <c r="A1163" t="s">
        <v>799</v>
      </c>
      <c r="B1163" s="28" t="s">
        <v>1075</v>
      </c>
    </row>
    <row r="1164" spans="1:2" x14ac:dyDescent="0.2">
      <c r="A1164" t="s">
        <v>800</v>
      </c>
      <c r="B1164" s="28" t="s">
        <v>1075</v>
      </c>
    </row>
    <row r="1165" spans="1:2" x14ac:dyDescent="0.2">
      <c r="A1165" t="s">
        <v>763</v>
      </c>
      <c r="B1165" s="28" t="s">
        <v>1011</v>
      </c>
    </row>
    <row r="1166" spans="1:2" x14ac:dyDescent="0.2">
      <c r="A1166" t="s">
        <v>762</v>
      </c>
      <c r="B1166" s="28" t="s">
        <v>1011</v>
      </c>
    </row>
    <row r="1167" spans="1:2" x14ac:dyDescent="0.2">
      <c r="A1167" t="s">
        <v>752</v>
      </c>
      <c r="B1167" s="28" t="s">
        <v>1011</v>
      </c>
    </row>
    <row r="1168" spans="1:2" x14ac:dyDescent="0.2">
      <c r="A1168" t="s">
        <v>754</v>
      </c>
      <c r="B1168" s="28" t="s">
        <v>1011</v>
      </c>
    </row>
    <row r="1169" spans="1:2" x14ac:dyDescent="0.2">
      <c r="A1169" t="s">
        <v>758</v>
      </c>
      <c r="B1169" s="28" t="s">
        <v>1011</v>
      </c>
    </row>
    <row r="1170" spans="1:2" x14ac:dyDescent="0.2">
      <c r="A1170" t="s">
        <v>757</v>
      </c>
      <c r="B1170" s="28" t="s">
        <v>1011</v>
      </c>
    </row>
    <row r="1171" spans="1:2" x14ac:dyDescent="0.2">
      <c r="A1171" t="s">
        <v>759</v>
      </c>
      <c r="B1171" s="28" t="s">
        <v>1011</v>
      </c>
    </row>
    <row r="1172" spans="1:2" x14ac:dyDescent="0.2">
      <c r="A1172" t="s">
        <v>1705</v>
      </c>
      <c r="B1172" s="28" t="s">
        <v>1460</v>
      </c>
    </row>
    <row r="1173" spans="1:2" x14ac:dyDescent="0.2">
      <c r="A1173" t="s">
        <v>657</v>
      </c>
      <c r="B1173" s="21" t="s">
        <v>932</v>
      </c>
    </row>
    <row r="1174" spans="1:2" x14ac:dyDescent="0.2">
      <c r="A1174" t="s">
        <v>596</v>
      </c>
      <c r="B1174" s="21" t="s">
        <v>932</v>
      </c>
    </row>
    <row r="1175" spans="1:2" x14ac:dyDescent="0.2">
      <c r="A1175" t="s">
        <v>591</v>
      </c>
      <c r="B1175" s="21" t="s">
        <v>932</v>
      </c>
    </row>
    <row r="1176" spans="1:2" x14ac:dyDescent="0.2">
      <c r="A1176" t="s">
        <v>1687</v>
      </c>
      <c r="B1176" s="28" t="s">
        <v>947</v>
      </c>
    </row>
    <row r="1177" spans="1:2" x14ac:dyDescent="0.2">
      <c r="A1177" t="s">
        <v>887</v>
      </c>
      <c r="B1177" s="28" t="s">
        <v>947</v>
      </c>
    </row>
    <row r="1178" spans="1:2" x14ac:dyDescent="0.2">
      <c r="A1178" t="s">
        <v>1689</v>
      </c>
      <c r="B1178" s="28" t="s">
        <v>947</v>
      </c>
    </row>
    <row r="1179" spans="1:2" x14ac:dyDescent="0.2">
      <c r="A1179" t="s">
        <v>344</v>
      </c>
      <c r="B1179" s="28" t="s">
        <v>1091</v>
      </c>
    </row>
    <row r="1180" spans="1:2" x14ac:dyDescent="0.2">
      <c r="A1180" t="s">
        <v>888</v>
      </c>
      <c r="B1180" s="28" t="s">
        <v>1075</v>
      </c>
    </row>
    <row r="1181" spans="1:2" x14ac:dyDescent="0.2">
      <c r="A1181" t="s">
        <v>597</v>
      </c>
      <c r="B1181" s="21" t="s">
        <v>932</v>
      </c>
    </row>
    <row r="1182" spans="1:2" x14ac:dyDescent="0.2">
      <c r="A1182" t="s">
        <v>658</v>
      </c>
      <c r="B1182" s="21" t="s">
        <v>932</v>
      </c>
    </row>
    <row r="1183" spans="1:2" x14ac:dyDescent="0.2">
      <c r="A1183" t="s">
        <v>883</v>
      </c>
      <c r="B1183" s="28" t="s">
        <v>947</v>
      </c>
    </row>
    <row r="1184" spans="1:2" x14ac:dyDescent="0.2">
      <c r="A1184" t="s">
        <v>379</v>
      </c>
      <c r="B1184" s="28" t="s">
        <v>1075</v>
      </c>
    </row>
    <row r="1185" spans="1:2" x14ac:dyDescent="0.2">
      <c r="A1185" t="s">
        <v>380</v>
      </c>
      <c r="B1185" s="28" t="s">
        <v>1075</v>
      </c>
    </row>
    <row r="1186" spans="1:2" x14ac:dyDescent="0.2">
      <c r="A1186" t="s">
        <v>629</v>
      </c>
      <c r="B1186" s="28" t="s">
        <v>1075</v>
      </c>
    </row>
    <row r="1187" spans="1:2" x14ac:dyDescent="0.2">
      <c r="A1187" t="s">
        <v>323</v>
      </c>
      <c r="B1187" s="28" t="s">
        <v>1091</v>
      </c>
    </row>
    <row r="1188" spans="1:2" x14ac:dyDescent="0.2">
      <c r="A1188" t="s">
        <v>322</v>
      </c>
      <c r="B1188" s="28" t="s">
        <v>1091</v>
      </c>
    </row>
    <row r="1189" spans="1:2" x14ac:dyDescent="0.2">
      <c r="A1189" t="s">
        <v>493</v>
      </c>
      <c r="B1189" s="21" t="s">
        <v>932</v>
      </c>
    </row>
    <row r="1190" spans="1:2" x14ac:dyDescent="0.2">
      <c r="A1190" t="s">
        <v>679</v>
      </c>
      <c r="B1190" s="21" t="s">
        <v>932</v>
      </c>
    </row>
    <row r="1191" spans="1:2" x14ac:dyDescent="0.2">
      <c r="A1191" t="s">
        <v>885</v>
      </c>
      <c r="B1191" s="21" t="s">
        <v>932</v>
      </c>
    </row>
    <row r="1192" spans="1:2" x14ac:dyDescent="0.2">
      <c r="A1192" t="s">
        <v>886</v>
      </c>
      <c r="B1192" s="21" t="s">
        <v>932</v>
      </c>
    </row>
    <row r="1193" spans="1:2" x14ac:dyDescent="0.2">
      <c r="A1193" t="s">
        <v>742</v>
      </c>
      <c r="B1193" s="28" t="s">
        <v>1079</v>
      </c>
    </row>
    <row r="1194" spans="1:2" x14ac:dyDescent="0.2">
      <c r="A1194" t="s">
        <v>718</v>
      </c>
      <c r="B1194" s="28" t="s">
        <v>1079</v>
      </c>
    </row>
    <row r="1195" spans="1:2" x14ac:dyDescent="0.2">
      <c r="A1195" t="s">
        <v>744</v>
      </c>
      <c r="B1195" s="28" t="s">
        <v>1079</v>
      </c>
    </row>
    <row r="1196" spans="1:2" x14ac:dyDescent="0.2">
      <c r="A1196" t="s">
        <v>746</v>
      </c>
      <c r="B1196" s="28" t="s">
        <v>1079</v>
      </c>
    </row>
    <row r="1197" spans="1:2" x14ac:dyDescent="0.2">
      <c r="A1197" t="s">
        <v>740</v>
      </c>
      <c r="B1197" s="28" t="s">
        <v>1079</v>
      </c>
    </row>
    <row r="1198" spans="1:2" x14ac:dyDescent="0.2">
      <c r="A1198" t="s">
        <v>209</v>
      </c>
      <c r="B1198" s="28" t="s">
        <v>1079</v>
      </c>
    </row>
    <row r="1199" spans="1:2" x14ac:dyDescent="0.2">
      <c r="A1199" t="s">
        <v>207</v>
      </c>
      <c r="B1199" s="28" t="s">
        <v>1079</v>
      </c>
    </row>
    <row r="1200" spans="1:2" x14ac:dyDescent="0.2">
      <c r="A1200" t="s">
        <v>208</v>
      </c>
      <c r="B1200" s="28" t="s">
        <v>1079</v>
      </c>
    </row>
    <row r="1201" spans="1:2" x14ac:dyDescent="0.2">
      <c r="A1201" t="s">
        <v>104</v>
      </c>
      <c r="B1201" s="28" t="s">
        <v>1079</v>
      </c>
    </row>
    <row r="1202" spans="1:2" x14ac:dyDescent="0.2">
      <c r="A1202" t="s">
        <v>108</v>
      </c>
      <c r="B1202" s="28" t="s">
        <v>1079</v>
      </c>
    </row>
    <row r="1203" spans="1:2" x14ac:dyDescent="0.2">
      <c r="A1203" t="s">
        <v>106</v>
      </c>
      <c r="B1203" s="28" t="s">
        <v>1079</v>
      </c>
    </row>
    <row r="1204" spans="1:2" x14ac:dyDescent="0.2">
      <c r="A1204" t="s">
        <v>219</v>
      </c>
      <c r="B1204" s="28" t="s">
        <v>1079</v>
      </c>
    </row>
    <row r="1205" spans="1:2" x14ac:dyDescent="0.2">
      <c r="A1205" t="s">
        <v>215</v>
      </c>
      <c r="B1205" s="28" t="s">
        <v>1079</v>
      </c>
    </row>
    <row r="1206" spans="1:2" x14ac:dyDescent="0.2">
      <c r="A1206" t="s">
        <v>217</v>
      </c>
      <c r="B1206" s="28" t="s">
        <v>1079</v>
      </c>
    </row>
    <row r="1207" spans="1:2" x14ac:dyDescent="0.2">
      <c r="A1207" t="s">
        <v>555</v>
      </c>
      <c r="B1207" s="28" t="s">
        <v>1079</v>
      </c>
    </row>
    <row r="1208" spans="1:2" x14ac:dyDescent="0.2">
      <c r="A1208" t="s">
        <v>93</v>
      </c>
      <c r="B1208" s="28" t="s">
        <v>1079</v>
      </c>
    </row>
    <row r="1209" spans="1:2" x14ac:dyDescent="0.2">
      <c r="A1209" t="s">
        <v>94</v>
      </c>
      <c r="B1209" s="28" t="s">
        <v>1079</v>
      </c>
    </row>
    <row r="1210" spans="1:2" x14ac:dyDescent="0.2">
      <c r="A1210" t="s">
        <v>95</v>
      </c>
      <c r="B1210" s="28" t="s">
        <v>1079</v>
      </c>
    </row>
    <row r="1211" spans="1:2" x14ac:dyDescent="0.2">
      <c r="A1211" t="s">
        <v>509</v>
      </c>
      <c r="B1211" s="28" t="s">
        <v>1079</v>
      </c>
    </row>
    <row r="1212" spans="1:2" x14ac:dyDescent="0.2">
      <c r="A1212" t="s">
        <v>512</v>
      </c>
      <c r="B1212" s="28" t="s">
        <v>1079</v>
      </c>
    </row>
    <row r="1213" spans="1:2" x14ac:dyDescent="0.2">
      <c r="A1213" t="s">
        <v>504</v>
      </c>
      <c r="B1213" s="28" t="s">
        <v>1079</v>
      </c>
    </row>
    <row r="1214" spans="1:2" x14ac:dyDescent="0.2">
      <c r="A1214" t="s">
        <v>507</v>
      </c>
      <c r="B1214" s="28" t="s">
        <v>1079</v>
      </c>
    </row>
    <row r="1215" spans="1:2" x14ac:dyDescent="0.2">
      <c r="A1215" t="s">
        <v>1671</v>
      </c>
      <c r="B1215" s="28" t="s">
        <v>1079</v>
      </c>
    </row>
    <row r="1216" spans="1:2" x14ac:dyDescent="0.2">
      <c r="A1216" t="s">
        <v>1670</v>
      </c>
      <c r="B1216" s="28" t="s">
        <v>1079</v>
      </c>
    </row>
    <row r="1217" spans="1:2" x14ac:dyDescent="0.2">
      <c r="A1217" t="s">
        <v>1668</v>
      </c>
      <c r="B1217" s="28" t="s">
        <v>1079</v>
      </c>
    </row>
    <row r="1218" spans="1:2" x14ac:dyDescent="0.2">
      <c r="A1218" t="s">
        <v>1669</v>
      </c>
      <c r="B1218" s="28" t="s">
        <v>1079</v>
      </c>
    </row>
    <row r="1219" spans="1:2" x14ac:dyDescent="0.2">
      <c r="A1219" t="s">
        <v>1679</v>
      </c>
      <c r="B1219" s="28" t="s">
        <v>1079</v>
      </c>
    </row>
    <row r="1220" spans="1:2" x14ac:dyDescent="0.2">
      <c r="A1220" t="s">
        <v>1681</v>
      </c>
      <c r="B1220" s="28" t="s">
        <v>1079</v>
      </c>
    </row>
    <row r="1221" spans="1:2" x14ac:dyDescent="0.2">
      <c r="A1221" t="s">
        <v>1678</v>
      </c>
      <c r="B1221" s="28" t="s">
        <v>1079</v>
      </c>
    </row>
    <row r="1222" spans="1:2" x14ac:dyDescent="0.2">
      <c r="A1222" t="s">
        <v>1680</v>
      </c>
      <c r="B1222" s="28" t="s">
        <v>1079</v>
      </c>
    </row>
    <row r="1223" spans="1:2" x14ac:dyDescent="0.2">
      <c r="A1223" t="s">
        <v>536</v>
      </c>
      <c r="B1223" s="28" t="s">
        <v>1079</v>
      </c>
    </row>
    <row r="1224" spans="1:2" x14ac:dyDescent="0.2">
      <c r="A1224" t="s">
        <v>510</v>
      </c>
      <c r="B1224" s="28" t="s">
        <v>1079</v>
      </c>
    </row>
    <row r="1225" spans="1:2" x14ac:dyDescent="0.2">
      <c r="A1225" t="s">
        <v>513</v>
      </c>
      <c r="B1225" s="28" t="s">
        <v>1079</v>
      </c>
    </row>
    <row r="1226" spans="1:2" x14ac:dyDescent="0.2">
      <c r="A1226" t="s">
        <v>505</v>
      </c>
      <c r="B1226" s="28" t="s">
        <v>1079</v>
      </c>
    </row>
    <row r="1227" spans="1:2" x14ac:dyDescent="0.2">
      <c r="A1227" t="s">
        <v>515</v>
      </c>
      <c r="B1227" s="28" t="s">
        <v>1079</v>
      </c>
    </row>
    <row r="1228" spans="1:2" x14ac:dyDescent="0.2">
      <c r="A1228" t="s">
        <v>508</v>
      </c>
      <c r="B1228" s="28" t="s">
        <v>1079</v>
      </c>
    </row>
    <row r="1229" spans="1:2" x14ac:dyDescent="0.2">
      <c r="A1229" t="s">
        <v>506</v>
      </c>
      <c r="B1229" s="28" t="s">
        <v>1079</v>
      </c>
    </row>
    <row r="1230" spans="1:2" x14ac:dyDescent="0.2">
      <c r="A1230" t="s">
        <v>347</v>
      </c>
      <c r="B1230" s="28" t="s">
        <v>1079</v>
      </c>
    </row>
    <row r="1231" spans="1:2" x14ac:dyDescent="0.2">
      <c r="A1231" t="s">
        <v>1706</v>
      </c>
      <c r="B1231" s="28" t="s">
        <v>1079</v>
      </c>
    </row>
    <row r="1232" spans="1:2" x14ac:dyDescent="0.2">
      <c r="A1232" t="s">
        <v>69</v>
      </c>
      <c r="B1232" s="28" t="s">
        <v>1079</v>
      </c>
    </row>
    <row r="1233" spans="1:2" x14ac:dyDescent="0.2">
      <c r="A1233" t="s">
        <v>348</v>
      </c>
      <c r="B1233" s="28" t="s">
        <v>1079</v>
      </c>
    </row>
    <row r="1234" spans="1:2" x14ac:dyDescent="0.2">
      <c r="A1234" t="s">
        <v>345</v>
      </c>
      <c r="B1234" s="28" t="s">
        <v>1079</v>
      </c>
    </row>
    <row r="1235" spans="1:2" x14ac:dyDescent="0.2">
      <c r="A1235" t="s">
        <v>349</v>
      </c>
      <c r="B1235" s="28" t="s">
        <v>1079</v>
      </c>
    </row>
    <row r="1236" spans="1:2" x14ac:dyDescent="0.2">
      <c r="A1236" t="s">
        <v>142</v>
      </c>
      <c r="B1236" s="28" t="s">
        <v>1079</v>
      </c>
    </row>
    <row r="1237" spans="1:2" x14ac:dyDescent="0.2">
      <c r="A1237" t="s">
        <v>495</v>
      </c>
      <c r="B1237" s="28" t="s">
        <v>1079</v>
      </c>
    </row>
    <row r="1238" spans="1:2" x14ac:dyDescent="0.2">
      <c r="A1238" t="s">
        <v>496</v>
      </c>
      <c r="B1238" s="28" t="s">
        <v>1079</v>
      </c>
    </row>
    <row r="1239" spans="1:2" x14ac:dyDescent="0.2">
      <c r="A1239" t="s">
        <v>99</v>
      </c>
      <c r="B1239" s="28" t="s">
        <v>1079</v>
      </c>
    </row>
    <row r="1240" spans="1:2" x14ac:dyDescent="0.2">
      <c r="A1240" t="s">
        <v>98</v>
      </c>
      <c r="B1240" s="28" t="s">
        <v>1079</v>
      </c>
    </row>
    <row r="1241" spans="1:2" x14ac:dyDescent="0.2">
      <c r="A1241" t="s">
        <v>1662</v>
      </c>
      <c r="B1241" s="28" t="s">
        <v>1079</v>
      </c>
    </row>
    <row r="1242" spans="1:2" x14ac:dyDescent="0.2">
      <c r="A1242" t="s">
        <v>1663</v>
      </c>
      <c r="B1242" s="28" t="s">
        <v>1079</v>
      </c>
    </row>
    <row r="1243" spans="1:2" x14ac:dyDescent="0.2">
      <c r="A1243" t="s">
        <v>1665</v>
      </c>
      <c r="B1243" s="28" t="s">
        <v>1079</v>
      </c>
    </row>
    <row r="1244" spans="1:2" x14ac:dyDescent="0.2">
      <c r="A1244" t="s">
        <v>1666</v>
      </c>
      <c r="B1244" s="28" t="s">
        <v>1079</v>
      </c>
    </row>
    <row r="1245" spans="1:2" x14ac:dyDescent="0.2">
      <c r="A1245" t="s">
        <v>1667</v>
      </c>
      <c r="B1245" s="28" t="s">
        <v>1079</v>
      </c>
    </row>
    <row r="1246" spans="1:2" x14ac:dyDescent="0.2">
      <c r="A1246" t="s">
        <v>1664</v>
      </c>
      <c r="B1246" s="28" t="s">
        <v>1079</v>
      </c>
    </row>
    <row r="1247" spans="1:2" x14ac:dyDescent="0.2">
      <c r="A1247" t="s">
        <v>1686</v>
      </c>
      <c r="B1247" s="28" t="s">
        <v>1079</v>
      </c>
    </row>
    <row r="1248" spans="1:2" x14ac:dyDescent="0.2">
      <c r="A1248" t="s">
        <v>1685</v>
      </c>
      <c r="B1248" s="28" t="s">
        <v>1079</v>
      </c>
    </row>
    <row r="1249" spans="1:2" x14ac:dyDescent="0.2">
      <c r="A1249" t="s">
        <v>877</v>
      </c>
      <c r="B1249" s="28" t="s">
        <v>1079</v>
      </c>
    </row>
    <row r="1250" spans="1:2" x14ac:dyDescent="0.2">
      <c r="A1250" t="s">
        <v>879</v>
      </c>
      <c r="B1250" s="28" t="s">
        <v>1079</v>
      </c>
    </row>
    <row r="1251" spans="1:2" x14ac:dyDescent="0.2">
      <c r="A1251" t="s">
        <v>1642</v>
      </c>
      <c r="B1251" s="28" t="s">
        <v>1015</v>
      </c>
    </row>
    <row r="1252" spans="1:2" x14ac:dyDescent="0.2">
      <c r="A1252" t="s">
        <v>1643</v>
      </c>
      <c r="B1252" s="28" t="s">
        <v>1015</v>
      </c>
    </row>
    <row r="1253" spans="1:2" x14ac:dyDescent="0.2">
      <c r="A1253" t="s">
        <v>1644</v>
      </c>
      <c r="B1253" s="28" t="s">
        <v>1015</v>
      </c>
    </row>
    <row r="1254" spans="1:2" x14ac:dyDescent="0.2">
      <c r="A1254" t="s">
        <v>1645</v>
      </c>
      <c r="B1254" s="28" t="s">
        <v>1015</v>
      </c>
    </row>
    <row r="1255" spans="1:2" x14ac:dyDescent="0.2">
      <c r="A1255" t="s">
        <v>1646</v>
      </c>
      <c r="B1255" s="28" t="s">
        <v>1015</v>
      </c>
    </row>
    <row r="1256" spans="1:2" x14ac:dyDescent="0.2">
      <c r="A1256" t="s">
        <v>1647</v>
      </c>
      <c r="B1256" s="28" t="s">
        <v>1015</v>
      </c>
    </row>
    <row r="1257" spans="1:2" x14ac:dyDescent="0.2">
      <c r="A1257" t="s">
        <v>1650</v>
      </c>
      <c r="B1257" s="28" t="s">
        <v>1015</v>
      </c>
    </row>
    <row r="1258" spans="1:2" x14ac:dyDescent="0.2">
      <c r="A1258" t="s">
        <v>1651</v>
      </c>
      <c r="B1258" s="28" t="s">
        <v>1015</v>
      </c>
    </row>
    <row r="1259" spans="1:2" x14ac:dyDescent="0.2">
      <c r="A1259" t="s">
        <v>1652</v>
      </c>
      <c r="B1259" s="28" t="s">
        <v>1015</v>
      </c>
    </row>
    <row r="1260" spans="1:2" x14ac:dyDescent="0.2">
      <c r="A1260" t="s">
        <v>1653</v>
      </c>
      <c r="B1260" s="28" t="s">
        <v>1015</v>
      </c>
    </row>
    <row r="1261" spans="1:2" x14ac:dyDescent="0.2">
      <c r="A1261" t="s">
        <v>1655</v>
      </c>
      <c r="B1261" s="28" t="s">
        <v>1015</v>
      </c>
    </row>
    <row r="1262" spans="1:2" x14ac:dyDescent="0.2">
      <c r="A1262" t="s">
        <v>1656</v>
      </c>
      <c r="B1262" s="28" t="s">
        <v>1015</v>
      </c>
    </row>
    <row r="1263" spans="1:2" x14ac:dyDescent="0.2">
      <c r="A1263" t="s">
        <v>1674</v>
      </c>
      <c r="B1263" s="28" t="s">
        <v>1015</v>
      </c>
    </row>
    <row r="1264" spans="1:2" x14ac:dyDescent="0.2">
      <c r="A1264" t="s">
        <v>1675</v>
      </c>
      <c r="B1264" s="28" t="s">
        <v>1015</v>
      </c>
    </row>
    <row r="1265" spans="1:2" x14ac:dyDescent="0.2">
      <c r="A1265" t="s">
        <v>1676</v>
      </c>
      <c r="B1265" s="28" t="s">
        <v>1015</v>
      </c>
    </row>
    <row r="1266" spans="1:2" x14ac:dyDescent="0.2">
      <c r="A1266" t="s">
        <v>1677</v>
      </c>
      <c r="B1266" s="28" t="s">
        <v>1015</v>
      </c>
    </row>
    <row r="1267" spans="1:2" x14ac:dyDescent="0.2">
      <c r="A1267" t="s">
        <v>627</v>
      </c>
      <c r="B1267" s="28" t="s">
        <v>1015</v>
      </c>
    </row>
    <row r="1268" spans="1:2" x14ac:dyDescent="0.2">
      <c r="A1268" t="s">
        <v>294</v>
      </c>
      <c r="B1268" s="28" t="s">
        <v>1015</v>
      </c>
    </row>
    <row r="1269" spans="1:2" x14ac:dyDescent="0.2">
      <c r="A1269" t="s">
        <v>1683</v>
      </c>
      <c r="B1269" s="28" t="s">
        <v>970</v>
      </c>
    </row>
    <row r="1270" spans="1:2" x14ac:dyDescent="0.2">
      <c r="A1270" t="s">
        <v>900</v>
      </c>
      <c r="B1270" s="28" t="s">
        <v>1079</v>
      </c>
    </row>
    <row r="1271" spans="1:2" x14ac:dyDescent="0.2">
      <c r="A1271" t="s">
        <v>778</v>
      </c>
      <c r="B1271" s="28" t="s">
        <v>970</v>
      </c>
    </row>
    <row r="1272" spans="1:2" x14ac:dyDescent="0.2">
      <c r="A1272" t="s">
        <v>779</v>
      </c>
      <c r="B1272" s="28" t="s">
        <v>970</v>
      </c>
    </row>
    <row r="1273" spans="1:2" x14ac:dyDescent="0.2">
      <c r="A1273" t="s">
        <v>782</v>
      </c>
      <c r="B1273" s="28" t="s">
        <v>970</v>
      </c>
    </row>
    <row r="1274" spans="1:2" x14ac:dyDescent="0.2">
      <c r="A1274" t="s">
        <v>783</v>
      </c>
      <c r="B1274" s="28" t="s">
        <v>970</v>
      </c>
    </row>
    <row r="1275" spans="1:2" x14ac:dyDescent="0.2">
      <c r="A1275" t="s">
        <v>787</v>
      </c>
      <c r="B1275" s="28" t="s">
        <v>970</v>
      </c>
    </row>
    <row r="1276" spans="1:2" x14ac:dyDescent="0.2">
      <c r="A1276" t="s">
        <v>788</v>
      </c>
      <c r="B1276" s="28" t="s">
        <v>970</v>
      </c>
    </row>
    <row r="1277" spans="1:2" x14ac:dyDescent="0.2">
      <c r="A1277" t="s">
        <v>792</v>
      </c>
      <c r="B1277" s="28" t="s">
        <v>970</v>
      </c>
    </row>
    <row r="1278" spans="1:2" x14ac:dyDescent="0.2">
      <c r="A1278" t="s">
        <v>793</v>
      </c>
      <c r="B1278" s="28" t="s">
        <v>970</v>
      </c>
    </row>
    <row r="1279" spans="1:2" x14ac:dyDescent="0.2">
      <c r="A1279" t="s">
        <v>797</v>
      </c>
      <c r="B1279" s="28" t="s">
        <v>970</v>
      </c>
    </row>
    <row r="1280" spans="1:2" x14ac:dyDescent="0.2">
      <c r="A1280" t="s">
        <v>798</v>
      </c>
      <c r="B1280" s="28" t="s">
        <v>970</v>
      </c>
    </row>
    <row r="1281" spans="1:2" x14ac:dyDescent="0.2">
      <c r="A1281" t="s">
        <v>807</v>
      </c>
      <c r="B1281" s="28" t="s">
        <v>970</v>
      </c>
    </row>
    <row r="1282" spans="1:2" x14ac:dyDescent="0.2">
      <c r="A1282" t="s">
        <v>808</v>
      </c>
      <c r="B1282" s="28" t="s">
        <v>970</v>
      </c>
    </row>
    <row r="1283" spans="1:2" x14ac:dyDescent="0.2">
      <c r="A1283" t="s">
        <v>811</v>
      </c>
      <c r="B1283" s="28" t="s">
        <v>970</v>
      </c>
    </row>
    <row r="1284" spans="1:2" x14ac:dyDescent="0.2">
      <c r="A1284" t="s">
        <v>812</v>
      </c>
      <c r="B1284" s="28" t="s">
        <v>970</v>
      </c>
    </row>
    <row r="1285" spans="1:2" x14ac:dyDescent="0.2">
      <c r="A1285" t="s">
        <v>1684</v>
      </c>
      <c r="B1285" s="28" t="s">
        <v>970</v>
      </c>
    </row>
    <row r="1286" spans="1:2" x14ac:dyDescent="0.2">
      <c r="A1286" t="s">
        <v>1707</v>
      </c>
      <c r="B1286" s="28" t="s">
        <v>1057</v>
      </c>
    </row>
    <row r="1287" spans="1:2" x14ac:dyDescent="0.2">
      <c r="A1287" t="s">
        <v>1708</v>
      </c>
      <c r="B1287" s="28" t="s">
        <v>1057</v>
      </c>
    </row>
    <row r="1288" spans="1:2" x14ac:dyDescent="0.2">
      <c r="A1288" t="s">
        <v>480</v>
      </c>
      <c r="B1288" s="21" t="s">
        <v>932</v>
      </c>
    </row>
    <row r="1289" spans="1:2" x14ac:dyDescent="0.2">
      <c r="A1289" t="s">
        <v>592</v>
      </c>
      <c r="B1289" s="21" t="s">
        <v>932</v>
      </c>
    </row>
    <row r="1290" spans="1:2" x14ac:dyDescent="0.2">
      <c r="A1290" t="s">
        <v>478</v>
      </c>
      <c r="B1290" s="21" t="s">
        <v>932</v>
      </c>
    </row>
    <row r="1291" spans="1:2" x14ac:dyDescent="0.2">
      <c r="A1291" t="s">
        <v>884</v>
      </c>
      <c r="B1291" s="21" t="s">
        <v>932</v>
      </c>
    </row>
    <row r="1292" spans="1:2" x14ac:dyDescent="0.2">
      <c r="A1292" t="s">
        <v>492</v>
      </c>
      <c r="B1292" s="21" t="s">
        <v>932</v>
      </c>
    </row>
    <row r="1293" spans="1:2" x14ac:dyDescent="0.2">
      <c r="A1293" t="s">
        <v>603</v>
      </c>
      <c r="B1293" s="21" t="s">
        <v>932</v>
      </c>
    </row>
    <row r="1294" spans="1:2" x14ac:dyDescent="0.2">
      <c r="A1294" t="s">
        <v>486</v>
      </c>
      <c r="B1294" s="21" t="s">
        <v>932</v>
      </c>
    </row>
    <row r="1295" spans="1:2" x14ac:dyDescent="0.2">
      <c r="A1295" t="s">
        <v>1688</v>
      </c>
      <c r="B1295" s="21" t="s">
        <v>932</v>
      </c>
    </row>
    <row r="1296" spans="1:2" x14ac:dyDescent="0.2">
      <c r="A1296" t="s">
        <v>475</v>
      </c>
      <c r="B1296" s="21" t="s">
        <v>932</v>
      </c>
    </row>
    <row r="1297" spans="1:2" x14ac:dyDescent="0.2">
      <c r="A1297" t="s">
        <v>651</v>
      </c>
      <c r="B1297" s="21" t="s">
        <v>932</v>
      </c>
    </row>
    <row r="1298" spans="1:2" x14ac:dyDescent="0.2">
      <c r="A1298" t="s">
        <v>483</v>
      </c>
      <c r="B1298" s="21" t="s">
        <v>932</v>
      </c>
    </row>
    <row r="1299" spans="1:2" x14ac:dyDescent="0.2">
      <c r="A1299" t="s">
        <v>490</v>
      </c>
      <c r="B1299" s="21" t="s">
        <v>932</v>
      </c>
    </row>
    <row r="1300" spans="1:2" x14ac:dyDescent="0.2">
      <c r="A1300" t="s">
        <v>531</v>
      </c>
      <c r="B1300" s="28" t="s">
        <v>1009</v>
      </c>
    </row>
    <row r="1301" spans="1:2" x14ac:dyDescent="0.2">
      <c r="A1301" t="s">
        <v>528</v>
      </c>
      <c r="B1301" s="28" t="s">
        <v>1497</v>
      </c>
    </row>
    <row r="1302" spans="1:2" x14ac:dyDescent="0.2">
      <c r="A1302" t="s">
        <v>915</v>
      </c>
      <c r="B1302" s="28" t="s">
        <v>1497</v>
      </c>
    </row>
    <row r="1303" spans="1:2" x14ac:dyDescent="0.2">
      <c r="A1303" t="s">
        <v>916</v>
      </c>
      <c r="B1303" s="28" t="s">
        <v>1497</v>
      </c>
    </row>
    <row r="1304" spans="1:2" x14ac:dyDescent="0.2">
      <c r="A1304" t="s">
        <v>595</v>
      </c>
      <c r="B1304" s="21" t="s">
        <v>932</v>
      </c>
    </row>
    <row r="1305" spans="1:2" x14ac:dyDescent="0.2">
      <c r="A1305" t="s">
        <v>468</v>
      </c>
      <c r="B1305" s="21" t="s">
        <v>932</v>
      </c>
    </row>
    <row r="1306" spans="1:2" x14ac:dyDescent="0.2">
      <c r="A1306" t="s">
        <v>472</v>
      </c>
      <c r="B1306" s="21" t="s">
        <v>932</v>
      </c>
    </row>
    <row r="1307" spans="1:2" x14ac:dyDescent="0.2">
      <c r="A1307" t="s">
        <v>594</v>
      </c>
      <c r="B1307" s="21" t="s">
        <v>932</v>
      </c>
    </row>
    <row r="1308" spans="1:2" x14ac:dyDescent="0.2">
      <c r="A1308" t="s">
        <v>605</v>
      </c>
      <c r="B1308" s="21" t="s">
        <v>932</v>
      </c>
    </row>
    <row r="1309" spans="1:2" x14ac:dyDescent="0.2">
      <c r="A1309" t="s">
        <v>532</v>
      </c>
      <c r="B1309" s="28" t="s">
        <v>1907</v>
      </c>
    </row>
    <row r="1310" spans="1:2" x14ac:dyDescent="0.2">
      <c r="A1310" t="s">
        <v>820</v>
      </c>
      <c r="B1310" s="28" t="s">
        <v>947</v>
      </c>
    </row>
    <row r="1311" spans="1:2" x14ac:dyDescent="0.2">
      <c r="A1311" t="s">
        <v>833</v>
      </c>
      <c r="B1311" s="28" t="s">
        <v>947</v>
      </c>
    </row>
    <row r="1312" spans="1:2" x14ac:dyDescent="0.2">
      <c r="A1312" t="s">
        <v>130</v>
      </c>
      <c r="B1312" s="28" t="s">
        <v>970</v>
      </c>
    </row>
    <row r="1313" spans="1:2" x14ac:dyDescent="0.2">
      <c r="A1313" t="s">
        <v>158</v>
      </c>
      <c r="B1313" s="28" t="s">
        <v>970</v>
      </c>
    </row>
    <row r="1314" spans="1:2" x14ac:dyDescent="0.2">
      <c r="A1314" t="s">
        <v>165</v>
      </c>
      <c r="B1314" s="28" t="s">
        <v>970</v>
      </c>
    </row>
    <row r="1315" spans="1:2" x14ac:dyDescent="0.2">
      <c r="A1315" t="s">
        <v>176</v>
      </c>
      <c r="B1315" s="28" t="s">
        <v>970</v>
      </c>
    </row>
    <row r="1316" spans="1:2" x14ac:dyDescent="0.2">
      <c r="A1316" t="s">
        <v>682</v>
      </c>
      <c r="B1316" s="28" t="s">
        <v>970</v>
      </c>
    </row>
    <row r="1317" spans="1:2" x14ac:dyDescent="0.2">
      <c r="A1317" t="s">
        <v>655</v>
      </c>
      <c r="B1317" s="21" t="s">
        <v>932</v>
      </c>
    </row>
    <row r="1318" spans="1:2" x14ac:dyDescent="0.2">
      <c r="A1318" t="s">
        <v>836</v>
      </c>
      <c r="B1318" s="28" t="s">
        <v>947</v>
      </c>
    </row>
    <row r="1319" spans="1:2" x14ac:dyDescent="0.2">
      <c r="A1319" t="s">
        <v>163</v>
      </c>
      <c r="B1319" s="28" t="s">
        <v>970</v>
      </c>
    </row>
    <row r="1320" spans="1:2" x14ac:dyDescent="0.2">
      <c r="A1320" t="s">
        <v>598</v>
      </c>
      <c r="B1320" s="21" t="s">
        <v>932</v>
      </c>
    </row>
    <row r="1321" spans="1:2" x14ac:dyDescent="0.2">
      <c r="A1321" t="s">
        <v>1709</v>
      </c>
      <c r="B1321" s="21" t="s">
        <v>932</v>
      </c>
    </row>
    <row r="1322" spans="1:2" x14ac:dyDescent="0.2">
      <c r="A1322" t="s">
        <v>659</v>
      </c>
      <c r="B1322" s="21" t="s">
        <v>932</v>
      </c>
    </row>
    <row r="1323" spans="1:2" x14ac:dyDescent="0.2">
      <c r="A1323" t="s">
        <v>588</v>
      </c>
      <c r="B1323" s="21" t="s">
        <v>932</v>
      </c>
    </row>
    <row r="1324" spans="1:2" x14ac:dyDescent="0.2">
      <c r="A1324" t="s">
        <v>910</v>
      </c>
      <c r="B1324" s="21" t="s">
        <v>932</v>
      </c>
    </row>
    <row r="1325" spans="1:2" x14ac:dyDescent="0.2">
      <c r="A1325" t="s">
        <v>908</v>
      </c>
      <c r="B1325" s="21" t="s">
        <v>932</v>
      </c>
    </row>
    <row r="1326" spans="1:2" x14ac:dyDescent="0.2">
      <c r="A1326" t="s">
        <v>909</v>
      </c>
      <c r="B1326" s="21" t="s">
        <v>932</v>
      </c>
    </row>
    <row r="1327" spans="1:2" x14ac:dyDescent="0.2">
      <c r="A1327" t="s">
        <v>858</v>
      </c>
      <c r="B1327" s="28" t="s">
        <v>970</v>
      </c>
    </row>
    <row r="1328" spans="1:2" x14ac:dyDescent="0.2">
      <c r="A1328" t="s">
        <v>805</v>
      </c>
      <c r="B1328" s="28" t="s">
        <v>1015</v>
      </c>
    </row>
    <row r="1329" spans="1:2" x14ac:dyDescent="0.2">
      <c r="A1329" t="s">
        <v>918</v>
      </c>
      <c r="B1329" s="28" t="s">
        <v>1015</v>
      </c>
    </row>
    <row r="1330" spans="1:2" x14ac:dyDescent="0.2">
      <c r="A1330" t="s">
        <v>1610</v>
      </c>
      <c r="B1330" s="28" t="s">
        <v>1015</v>
      </c>
    </row>
    <row r="1331" spans="1:2" x14ac:dyDescent="0.2">
      <c r="A1331" t="s">
        <v>256</v>
      </c>
      <c r="B1331" s="28" t="s">
        <v>947</v>
      </c>
    </row>
    <row r="1332" spans="1:2" x14ac:dyDescent="0.2">
      <c r="A1332" t="s">
        <v>16</v>
      </c>
      <c r="B1332" s="28" t="s">
        <v>1015</v>
      </c>
    </row>
    <row r="1333" spans="1:2" x14ac:dyDescent="0.2">
      <c r="A1333" t="s">
        <v>917</v>
      </c>
      <c r="B1333" s="28" t="s">
        <v>1015</v>
      </c>
    </row>
    <row r="1334" spans="1:2" x14ac:dyDescent="0.2">
      <c r="A1334" t="s">
        <v>902</v>
      </c>
      <c r="B1334" s="28" t="s">
        <v>1009</v>
      </c>
    </row>
    <row r="1335" spans="1:2" x14ac:dyDescent="0.2">
      <c r="A1335" t="s">
        <v>913</v>
      </c>
      <c r="B1335" s="28" t="s">
        <v>1497</v>
      </c>
    </row>
    <row r="1336" spans="1:2" x14ac:dyDescent="0.2">
      <c r="A1336" t="s">
        <v>1638</v>
      </c>
      <c r="B1336" s="28" t="s">
        <v>1497</v>
      </c>
    </row>
    <row r="1337" spans="1:2" x14ac:dyDescent="0.2">
      <c r="A1337" t="s">
        <v>914</v>
      </c>
      <c r="B1337" s="28" t="s">
        <v>1497</v>
      </c>
    </row>
    <row r="1338" spans="1:2" x14ac:dyDescent="0.2">
      <c r="A1338" t="s">
        <v>903</v>
      </c>
      <c r="B1338" s="28" t="s">
        <v>1460</v>
      </c>
    </row>
    <row r="1339" spans="1:2" x14ac:dyDescent="0.2">
      <c r="A1339" t="s">
        <v>911</v>
      </c>
      <c r="B1339" s="28" t="s">
        <v>1497</v>
      </c>
    </row>
    <row r="1340" spans="1:2" x14ac:dyDescent="0.2">
      <c r="A1340" t="s">
        <v>912</v>
      </c>
      <c r="B1340" s="28" t="s">
        <v>1497</v>
      </c>
    </row>
    <row r="1341" spans="1:2" x14ac:dyDescent="0.2">
      <c r="A1341" t="s">
        <v>904</v>
      </c>
      <c r="B1341" s="28" t="s">
        <v>1733</v>
      </c>
    </row>
    <row r="1342" spans="1:2" x14ac:dyDescent="0.2">
      <c r="A1342" s="28" t="s">
        <v>905</v>
      </c>
      <c r="B1342" s="28" t="s">
        <v>1733</v>
      </c>
    </row>
    <row r="1343" spans="1:2" x14ac:dyDescent="0.2">
      <c r="A1343" s="28" t="s">
        <v>906</v>
      </c>
      <c r="B1343" s="28" t="s">
        <v>1733</v>
      </c>
    </row>
    <row r="1344" spans="1:2" x14ac:dyDescent="0.2">
      <c r="A1344" s="28" t="s">
        <v>907</v>
      </c>
      <c r="B1344" s="28" t="s">
        <v>1733</v>
      </c>
    </row>
    <row r="1345" spans="1:2" x14ac:dyDescent="0.2">
      <c r="A1345" t="s">
        <v>753</v>
      </c>
      <c r="B1345" s="28" t="s">
        <v>1011</v>
      </c>
    </row>
    <row r="1346" spans="1:2" x14ac:dyDescent="0.2">
      <c r="A1346" t="s">
        <v>546</v>
      </c>
      <c r="B1346" s="28" t="s">
        <v>947</v>
      </c>
    </row>
    <row r="1347" spans="1:2" x14ac:dyDescent="0.2">
      <c r="A1347" t="s">
        <v>548</v>
      </c>
      <c r="B1347" s="28" t="s">
        <v>947</v>
      </c>
    </row>
    <row r="1348" spans="1:2" x14ac:dyDescent="0.2">
      <c r="A1348" t="s">
        <v>354</v>
      </c>
      <c r="B1348" s="28" t="s">
        <v>947</v>
      </c>
    </row>
    <row r="1349" spans="1:2" x14ac:dyDescent="0.2">
      <c r="A1349" t="s">
        <v>1710</v>
      </c>
      <c r="B1349" s="28" t="s">
        <v>1734</v>
      </c>
    </row>
    <row r="1350" spans="1:2" x14ac:dyDescent="0.2">
      <c r="A1350" t="s">
        <v>1711</v>
      </c>
      <c r="B1350" s="28" t="s">
        <v>1734</v>
      </c>
    </row>
    <row r="1351" spans="1:2" x14ac:dyDescent="0.2">
      <c r="A1351" t="s">
        <v>1712</v>
      </c>
      <c r="B1351" s="28" t="s">
        <v>1734</v>
      </c>
    </row>
    <row r="1352" spans="1:2" x14ac:dyDescent="0.2">
      <c r="A1352" t="s">
        <v>1713</v>
      </c>
      <c r="B1352" s="28" t="s">
        <v>1734</v>
      </c>
    </row>
    <row r="1353" spans="1:2" x14ac:dyDescent="0.2">
      <c r="A1353" t="s">
        <v>1714</v>
      </c>
      <c r="B1353" s="28" t="s">
        <v>1734</v>
      </c>
    </row>
    <row r="1354" spans="1:2" x14ac:dyDescent="0.2">
      <c r="A1354" t="s">
        <v>1715</v>
      </c>
      <c r="B1354" s="28" t="s">
        <v>1734</v>
      </c>
    </row>
    <row r="1355" spans="1:2" x14ac:dyDescent="0.2">
      <c r="A1355" t="s">
        <v>1716</v>
      </c>
      <c r="B1355" s="28" t="s">
        <v>1497</v>
      </c>
    </row>
    <row r="1356" spans="1:2" x14ac:dyDescent="0.2">
      <c r="A1356" t="s">
        <v>1717</v>
      </c>
      <c r="B1356" s="28" t="s">
        <v>1497</v>
      </c>
    </row>
    <row r="1357" spans="1:2" x14ac:dyDescent="0.2">
      <c r="A1357" t="s">
        <v>1718</v>
      </c>
      <c r="B1357" s="28" t="s">
        <v>1497</v>
      </c>
    </row>
    <row r="1358" spans="1:2" x14ac:dyDescent="0.2">
      <c r="A1358" t="s">
        <v>1719</v>
      </c>
      <c r="B1358" s="28" t="s">
        <v>1497</v>
      </c>
    </row>
    <row r="1359" spans="1:2" x14ac:dyDescent="0.2">
      <c r="A1359" t="s">
        <v>730</v>
      </c>
      <c r="B1359" t="s">
        <v>1733</v>
      </c>
    </row>
    <row r="1360" spans="1:2" x14ac:dyDescent="0.2">
      <c r="A1360" t="s">
        <v>722</v>
      </c>
      <c r="B1360" t="s">
        <v>1733</v>
      </c>
    </row>
    <row r="1361" spans="1:2" x14ac:dyDescent="0.2">
      <c r="A1361" t="s">
        <v>721</v>
      </c>
      <c r="B1361" t="s">
        <v>1733</v>
      </c>
    </row>
    <row r="1362" spans="1:2" x14ac:dyDescent="0.2">
      <c r="A1362" t="s">
        <v>895</v>
      </c>
      <c r="B1362" t="s">
        <v>1733</v>
      </c>
    </row>
    <row r="1363" spans="1:2" x14ac:dyDescent="0.2">
      <c r="A1363" t="s">
        <v>729</v>
      </c>
      <c r="B1363" t="s">
        <v>1733</v>
      </c>
    </row>
    <row r="1364" spans="1:2" x14ac:dyDescent="0.2">
      <c r="A1364" t="s">
        <v>720</v>
      </c>
      <c r="B1364" t="s">
        <v>1733</v>
      </c>
    </row>
    <row r="1365" spans="1:2" x14ac:dyDescent="0.2">
      <c r="A1365" t="s">
        <v>723</v>
      </c>
      <c r="B1365" t="s">
        <v>1733</v>
      </c>
    </row>
    <row r="1366" spans="1:2" x14ac:dyDescent="0.2">
      <c r="A1366" t="s">
        <v>891</v>
      </c>
      <c r="B1366" t="s">
        <v>1733</v>
      </c>
    </row>
    <row r="1367" spans="1:2" x14ac:dyDescent="0.2">
      <c r="A1367" t="s">
        <v>892</v>
      </c>
      <c r="B1367" t="s">
        <v>1733</v>
      </c>
    </row>
    <row r="1368" spans="1:2" x14ac:dyDescent="0.2">
      <c r="A1368" t="s">
        <v>732</v>
      </c>
      <c r="B1368" t="s">
        <v>1733</v>
      </c>
    </row>
    <row r="1369" spans="1:2" x14ac:dyDescent="0.2">
      <c r="A1369" t="s">
        <v>727</v>
      </c>
      <c r="B1369" t="s">
        <v>1733</v>
      </c>
    </row>
    <row r="1370" spans="1:2" x14ac:dyDescent="0.2">
      <c r="A1370" t="s">
        <v>726</v>
      </c>
      <c r="B1370" t="s">
        <v>1733</v>
      </c>
    </row>
    <row r="1371" spans="1:2" x14ac:dyDescent="0.2">
      <c r="A1371" t="s">
        <v>896</v>
      </c>
      <c r="B1371" t="s">
        <v>1733</v>
      </c>
    </row>
    <row r="1372" spans="1:2" x14ac:dyDescent="0.2">
      <c r="A1372" t="s">
        <v>894</v>
      </c>
      <c r="B1372" t="s">
        <v>1733</v>
      </c>
    </row>
    <row r="1373" spans="1:2" x14ac:dyDescent="0.2">
      <c r="A1373" t="s">
        <v>724</v>
      </c>
      <c r="B1373" t="s">
        <v>1733</v>
      </c>
    </row>
    <row r="1374" spans="1:2" x14ac:dyDescent="0.2">
      <c r="A1374" t="s">
        <v>731</v>
      </c>
      <c r="B1374" t="s">
        <v>1733</v>
      </c>
    </row>
    <row r="1375" spans="1:2" x14ac:dyDescent="0.2">
      <c r="A1375" t="s">
        <v>728</v>
      </c>
      <c r="B1375" t="s">
        <v>1733</v>
      </c>
    </row>
    <row r="1376" spans="1:2" x14ac:dyDescent="0.2">
      <c r="A1376" t="s">
        <v>725</v>
      </c>
      <c r="B1376" t="s">
        <v>1733</v>
      </c>
    </row>
    <row r="1377" spans="1:2" x14ac:dyDescent="0.2">
      <c r="A1377" t="s">
        <v>890</v>
      </c>
      <c r="B1377" t="s">
        <v>1733</v>
      </c>
    </row>
    <row r="1378" spans="1:2" x14ac:dyDescent="0.2">
      <c r="A1378" t="s">
        <v>893</v>
      </c>
      <c r="B1378" t="s">
        <v>1733</v>
      </c>
    </row>
    <row r="1379" spans="1:2" x14ac:dyDescent="0.2">
      <c r="A1379" t="s">
        <v>1558</v>
      </c>
      <c r="B1379" t="s">
        <v>1733</v>
      </c>
    </row>
    <row r="1380" spans="1:2" x14ac:dyDescent="0.2">
      <c r="A1380" t="s">
        <v>1560</v>
      </c>
      <c r="B1380" t="s">
        <v>1733</v>
      </c>
    </row>
    <row r="1381" spans="1:2" x14ac:dyDescent="0.2">
      <c r="A1381" t="s">
        <v>1555</v>
      </c>
      <c r="B1381" t="s">
        <v>1733</v>
      </c>
    </row>
    <row r="1382" spans="1:2" x14ac:dyDescent="0.2">
      <c r="A1382" t="s">
        <v>1550</v>
      </c>
      <c r="B1382" t="s">
        <v>1733</v>
      </c>
    </row>
    <row r="1383" spans="1:2" x14ac:dyDescent="0.2">
      <c r="A1383" t="s">
        <v>1554</v>
      </c>
      <c r="B1383" t="s">
        <v>1733</v>
      </c>
    </row>
    <row r="1384" spans="1:2" x14ac:dyDescent="0.2">
      <c r="A1384" t="s">
        <v>1549</v>
      </c>
      <c r="B1384" t="s">
        <v>1733</v>
      </c>
    </row>
    <row r="1385" spans="1:2" x14ac:dyDescent="0.2">
      <c r="A1385" t="s">
        <v>1562</v>
      </c>
      <c r="B1385" t="s">
        <v>1733</v>
      </c>
    </row>
    <row r="1386" spans="1:2" x14ac:dyDescent="0.2">
      <c r="A1386" t="s">
        <v>1568</v>
      </c>
      <c r="B1386" t="s">
        <v>1733</v>
      </c>
    </row>
    <row r="1387" spans="1:2" x14ac:dyDescent="0.2">
      <c r="A1387" t="s">
        <v>1567</v>
      </c>
      <c r="B1387" t="s">
        <v>1733</v>
      </c>
    </row>
    <row r="1388" spans="1:2" x14ac:dyDescent="0.2">
      <c r="A1388" t="s">
        <v>1561</v>
      </c>
      <c r="B1388" t="s">
        <v>1733</v>
      </c>
    </row>
    <row r="1389" spans="1:2" x14ac:dyDescent="0.2">
      <c r="A1389" t="s">
        <v>1552</v>
      </c>
      <c r="B1389" t="s">
        <v>1733</v>
      </c>
    </row>
    <row r="1390" spans="1:2" x14ac:dyDescent="0.2">
      <c r="A1390" t="s">
        <v>1547</v>
      </c>
      <c r="B1390" t="s">
        <v>1733</v>
      </c>
    </row>
    <row r="1391" spans="1:2" x14ac:dyDescent="0.2">
      <c r="A1391" t="s">
        <v>1557</v>
      </c>
      <c r="B1391" t="s">
        <v>1733</v>
      </c>
    </row>
    <row r="1392" spans="1:2" x14ac:dyDescent="0.2">
      <c r="A1392" t="s">
        <v>1559</v>
      </c>
      <c r="B1392" t="s">
        <v>1733</v>
      </c>
    </row>
    <row r="1393" spans="1:2" x14ac:dyDescent="0.2">
      <c r="A1393" t="s">
        <v>1553</v>
      </c>
      <c r="B1393" t="s">
        <v>1733</v>
      </c>
    </row>
    <row r="1394" spans="1:2" x14ac:dyDescent="0.2">
      <c r="A1394" t="s">
        <v>1548</v>
      </c>
      <c r="B1394" t="s">
        <v>1733</v>
      </c>
    </row>
    <row r="1395" spans="1:2" x14ac:dyDescent="0.2">
      <c r="A1395" t="s">
        <v>1556</v>
      </c>
      <c r="B1395" t="s">
        <v>1733</v>
      </c>
    </row>
    <row r="1396" spans="1:2" x14ac:dyDescent="0.2">
      <c r="A1396" t="s">
        <v>1551</v>
      </c>
      <c r="B1396" t="s">
        <v>1733</v>
      </c>
    </row>
    <row r="1397" spans="1:2" x14ac:dyDescent="0.2">
      <c r="A1397" t="s">
        <v>1563</v>
      </c>
      <c r="B1397" t="s">
        <v>1733</v>
      </c>
    </row>
    <row r="1398" spans="1:2" x14ac:dyDescent="0.2">
      <c r="A1398" t="s">
        <v>1564</v>
      </c>
      <c r="B1398" t="s">
        <v>1733</v>
      </c>
    </row>
    <row r="1399" spans="1:2" x14ac:dyDescent="0.2">
      <c r="A1399" t="s">
        <v>1565</v>
      </c>
      <c r="B1399" t="s">
        <v>1733</v>
      </c>
    </row>
    <row r="1400" spans="1:2" x14ac:dyDescent="0.2">
      <c r="A1400" t="s">
        <v>1566</v>
      </c>
      <c r="B1400" t="s">
        <v>1733</v>
      </c>
    </row>
    <row r="1401" spans="1:2" x14ac:dyDescent="0.2">
      <c r="A1401" t="s">
        <v>1720</v>
      </c>
      <c r="B1401" t="s">
        <v>1735</v>
      </c>
    </row>
    <row r="1402" spans="1:2" x14ac:dyDescent="0.2">
      <c r="A1402" t="s">
        <v>1721</v>
      </c>
      <c r="B1402" t="s">
        <v>1735</v>
      </c>
    </row>
    <row r="1403" spans="1:2" x14ac:dyDescent="0.2">
      <c r="A1403" t="s">
        <v>1722</v>
      </c>
      <c r="B1403" t="s">
        <v>1735</v>
      </c>
    </row>
    <row r="1404" spans="1:2" x14ac:dyDescent="0.2">
      <c r="A1404" t="s">
        <v>1723</v>
      </c>
      <c r="B1404" t="s">
        <v>1735</v>
      </c>
    </row>
    <row r="1405" spans="1:2" x14ac:dyDescent="0.2">
      <c r="A1405" t="s">
        <v>1724</v>
      </c>
      <c r="B1405" t="s">
        <v>1735</v>
      </c>
    </row>
    <row r="1406" spans="1:2" x14ac:dyDescent="0.2">
      <c r="A1406" t="s">
        <v>1725</v>
      </c>
      <c r="B1406" t="s">
        <v>1735</v>
      </c>
    </row>
    <row r="1407" spans="1:2" x14ac:dyDescent="0.2">
      <c r="A1407" t="s">
        <v>1726</v>
      </c>
      <c r="B1407" t="s">
        <v>1735</v>
      </c>
    </row>
    <row r="1408" spans="1:2" x14ac:dyDescent="0.2">
      <c r="A1408" t="s">
        <v>1727</v>
      </c>
      <c r="B1408" t="s">
        <v>1735</v>
      </c>
    </row>
    <row r="1409" spans="1:2" x14ac:dyDescent="0.2">
      <c r="A1409" t="s">
        <v>1728</v>
      </c>
      <c r="B1409" t="s">
        <v>1736</v>
      </c>
    </row>
    <row r="1410" spans="1:2" x14ac:dyDescent="0.2">
      <c r="A1410" t="s">
        <v>1729</v>
      </c>
      <c r="B1410" t="s">
        <v>1736</v>
      </c>
    </row>
    <row r="1411" spans="1:2" x14ac:dyDescent="0.2">
      <c r="A1411" t="s">
        <v>1730</v>
      </c>
      <c r="B1411" t="s">
        <v>1736</v>
      </c>
    </row>
    <row r="1412" spans="1:2" x14ac:dyDescent="0.2">
      <c r="A1412" t="s">
        <v>1731</v>
      </c>
      <c r="B1412" t="s">
        <v>1736</v>
      </c>
    </row>
    <row r="1413" spans="1:2" x14ac:dyDescent="0.2">
      <c r="A1413" t="s">
        <v>719</v>
      </c>
      <c r="B1413" t="s">
        <v>1733</v>
      </c>
    </row>
    <row r="1414" spans="1:2" x14ac:dyDescent="0.2">
      <c r="A1414" t="s">
        <v>897</v>
      </c>
      <c r="B1414" t="s">
        <v>1733</v>
      </c>
    </row>
    <row r="1415" spans="1:2" x14ac:dyDescent="0.2">
      <c r="A1415" t="s">
        <v>357</v>
      </c>
      <c r="B1415" t="s">
        <v>947</v>
      </c>
    </row>
    <row r="1416" spans="1:2" x14ac:dyDescent="0.2">
      <c r="A1416" t="s">
        <v>822</v>
      </c>
      <c r="B1416" t="s">
        <v>947</v>
      </c>
    </row>
    <row r="1417" spans="1:2" x14ac:dyDescent="0.2">
      <c r="A1417" t="s">
        <v>859</v>
      </c>
      <c r="B1417" t="s">
        <v>970</v>
      </c>
    </row>
    <row r="1418" spans="1:2" x14ac:dyDescent="0.2">
      <c r="A1418" t="s">
        <v>863</v>
      </c>
      <c r="B1418" t="s">
        <v>970</v>
      </c>
    </row>
    <row r="1419" spans="1:2" x14ac:dyDescent="0.2">
      <c r="A1419" t="s">
        <v>1604</v>
      </c>
      <c r="B1419" t="s">
        <v>1079</v>
      </c>
    </row>
    <row r="1420" spans="1:2" x14ac:dyDescent="0.2">
      <c r="A1420" t="s">
        <v>1605</v>
      </c>
      <c r="B1420" t="s">
        <v>1079</v>
      </c>
    </row>
    <row r="1421" spans="1:2" x14ac:dyDescent="0.2">
      <c r="A1421" t="s">
        <v>1606</v>
      </c>
      <c r="B1421" t="s">
        <v>1079</v>
      </c>
    </row>
    <row r="1422" spans="1:2" x14ac:dyDescent="0.2">
      <c r="A1422" t="s">
        <v>1607</v>
      </c>
      <c r="B1422" t="s">
        <v>1079</v>
      </c>
    </row>
    <row r="1423" spans="1:2" x14ac:dyDescent="0.2">
      <c r="A1423" t="s">
        <v>1608</v>
      </c>
      <c r="B1423" t="s">
        <v>1079</v>
      </c>
    </row>
    <row r="1424" spans="1:2" x14ac:dyDescent="0.2">
      <c r="A1424" t="s">
        <v>1609</v>
      </c>
      <c r="B1424" t="s">
        <v>1079</v>
      </c>
    </row>
    <row r="1425" spans="1:2" x14ac:dyDescent="0.2">
      <c r="A1425" t="s">
        <v>1611</v>
      </c>
      <c r="B1425" t="s">
        <v>1079</v>
      </c>
    </row>
    <row r="1426" spans="1:2" x14ac:dyDescent="0.2">
      <c r="A1426" t="s">
        <v>1612</v>
      </c>
      <c r="B1426" t="s">
        <v>1079</v>
      </c>
    </row>
    <row r="1427" spans="1:2" x14ac:dyDescent="0.2">
      <c r="A1427" t="s">
        <v>1613</v>
      </c>
      <c r="B1427" t="s">
        <v>1079</v>
      </c>
    </row>
    <row r="1428" spans="1:2" x14ac:dyDescent="0.2">
      <c r="A1428" t="s">
        <v>1615</v>
      </c>
      <c r="B1428" t="s">
        <v>1079</v>
      </c>
    </row>
    <row r="1429" spans="1:2" x14ac:dyDescent="0.2">
      <c r="A1429" t="s">
        <v>1614</v>
      </c>
      <c r="B1429" t="s">
        <v>1079</v>
      </c>
    </row>
    <row r="1430" spans="1:2" x14ac:dyDescent="0.2">
      <c r="A1430" t="s">
        <v>1616</v>
      </c>
      <c r="B1430" t="s">
        <v>1079</v>
      </c>
    </row>
    <row r="1431" spans="1:2" x14ac:dyDescent="0.2">
      <c r="A1431" t="s">
        <v>1617</v>
      </c>
      <c r="B1431" t="s">
        <v>1079</v>
      </c>
    </row>
    <row r="1432" spans="1:2" x14ac:dyDescent="0.2">
      <c r="A1432" t="s">
        <v>1618</v>
      </c>
      <c r="B1432" t="s">
        <v>1079</v>
      </c>
    </row>
    <row r="1433" spans="1:2" x14ac:dyDescent="0.2">
      <c r="A1433" t="s">
        <v>1619</v>
      </c>
      <c r="B1433" t="s">
        <v>1079</v>
      </c>
    </row>
    <row r="1434" spans="1:2" x14ac:dyDescent="0.2">
      <c r="A1434" t="s">
        <v>1620</v>
      </c>
      <c r="B1434" t="s">
        <v>1079</v>
      </c>
    </row>
    <row r="1435" spans="1:2" x14ac:dyDescent="0.2">
      <c r="A1435" t="s">
        <v>1621</v>
      </c>
      <c r="B1435" t="s">
        <v>1079</v>
      </c>
    </row>
    <row r="1436" spans="1:2" x14ac:dyDescent="0.2">
      <c r="A1436" t="s">
        <v>898</v>
      </c>
      <c r="B1436" t="s">
        <v>1737</v>
      </c>
    </row>
    <row r="1437" spans="1:2" x14ac:dyDescent="0.2">
      <c r="A1437" t="s">
        <v>899</v>
      </c>
      <c r="B1437" t="s">
        <v>1737</v>
      </c>
    </row>
    <row r="1438" spans="1:2" x14ac:dyDescent="0.2">
      <c r="A1438" t="s">
        <v>1599</v>
      </c>
      <c r="B1438" t="s">
        <v>1091</v>
      </c>
    </row>
    <row r="1439" spans="1:2" x14ac:dyDescent="0.2">
      <c r="A1439" t="s">
        <v>1600</v>
      </c>
      <c r="B1439" t="s">
        <v>1091</v>
      </c>
    </row>
    <row r="1440" spans="1:2" x14ac:dyDescent="0.2">
      <c r="A1440" t="s">
        <v>1574</v>
      </c>
      <c r="B1440" t="s">
        <v>1501</v>
      </c>
    </row>
    <row r="1441" spans="1:2" x14ac:dyDescent="0.2">
      <c r="A1441" t="s">
        <v>1575</v>
      </c>
      <c r="B1441" t="s">
        <v>1501</v>
      </c>
    </row>
    <row r="1442" spans="1:2" x14ac:dyDescent="0.2">
      <c r="A1442" t="s">
        <v>1576</v>
      </c>
      <c r="B1442" t="s">
        <v>1501</v>
      </c>
    </row>
    <row r="1443" spans="1:2" x14ac:dyDescent="0.2">
      <c r="A1443" t="s">
        <v>1577</v>
      </c>
      <c r="B1443" t="s">
        <v>1501</v>
      </c>
    </row>
    <row r="1444" spans="1:2" x14ac:dyDescent="0.2">
      <c r="A1444" t="s">
        <v>1602</v>
      </c>
      <c r="B1444" t="s">
        <v>1501</v>
      </c>
    </row>
    <row r="1445" spans="1:2" x14ac:dyDescent="0.2">
      <c r="A1445" t="s">
        <v>1578</v>
      </c>
      <c r="B1445" t="s">
        <v>1501</v>
      </c>
    </row>
    <row r="1446" spans="1:2" x14ac:dyDescent="0.2">
      <c r="A1446" t="s">
        <v>1579</v>
      </c>
      <c r="B1446" t="s">
        <v>1501</v>
      </c>
    </row>
    <row r="1447" spans="1:2" x14ac:dyDescent="0.2">
      <c r="A1447" t="s">
        <v>1580</v>
      </c>
      <c r="B1447" t="s">
        <v>1501</v>
      </c>
    </row>
    <row r="1448" spans="1:2" x14ac:dyDescent="0.2">
      <c r="A1448" t="s">
        <v>1648</v>
      </c>
      <c r="B1448" t="s">
        <v>1075</v>
      </c>
    </row>
    <row r="1449" spans="1:2" x14ac:dyDescent="0.2">
      <c r="A1449" t="s">
        <v>1649</v>
      </c>
      <c r="B1449" t="s">
        <v>1075</v>
      </c>
    </row>
    <row r="1450" spans="1:2" x14ac:dyDescent="0.2">
      <c r="A1450" t="s">
        <v>1659</v>
      </c>
      <c r="B1450" t="s">
        <v>1075</v>
      </c>
    </row>
    <row r="1451" spans="1:2" x14ac:dyDescent="0.2">
      <c r="A1451" t="s">
        <v>1660</v>
      </c>
      <c r="B1451" t="s">
        <v>1075</v>
      </c>
    </row>
    <row r="1452" spans="1:2" x14ac:dyDescent="0.2">
      <c r="A1452" t="s">
        <v>1661</v>
      </c>
      <c r="B1452" t="s">
        <v>1075</v>
      </c>
    </row>
    <row r="1453" spans="1:2" x14ac:dyDescent="0.2">
      <c r="A1453" t="s">
        <v>1601</v>
      </c>
      <c r="B1453" t="s">
        <v>1075</v>
      </c>
    </row>
    <row r="1454" spans="1:2" x14ac:dyDescent="0.2">
      <c r="A1454" t="s">
        <v>1628</v>
      </c>
      <c r="B1454" t="s">
        <v>947</v>
      </c>
    </row>
    <row r="1455" spans="1:2" x14ac:dyDescent="0.2">
      <c r="A1455" t="s">
        <v>1629</v>
      </c>
      <c r="B1455" t="s">
        <v>947</v>
      </c>
    </row>
    <row r="1456" spans="1:2" x14ac:dyDescent="0.2">
      <c r="A1456" t="s">
        <v>1636</v>
      </c>
      <c r="B1456" t="s">
        <v>947</v>
      </c>
    </row>
    <row r="1457" spans="1:2" x14ac:dyDescent="0.2">
      <c r="A1457" t="s">
        <v>1622</v>
      </c>
      <c r="B1457" t="s">
        <v>947</v>
      </c>
    </row>
    <row r="1458" spans="1:2" x14ac:dyDescent="0.2">
      <c r="A1458" t="s">
        <v>1623</v>
      </c>
      <c r="B1458" t="s">
        <v>947</v>
      </c>
    </row>
    <row r="1459" spans="1:2" x14ac:dyDescent="0.2">
      <c r="A1459" t="s">
        <v>1624</v>
      </c>
      <c r="B1459" t="s">
        <v>947</v>
      </c>
    </row>
    <row r="1460" spans="1:2" x14ac:dyDescent="0.2">
      <c r="A1460" t="s">
        <v>660</v>
      </c>
      <c r="B1460" s="21" t="s">
        <v>932</v>
      </c>
    </row>
    <row r="1461" spans="1:2" x14ac:dyDescent="0.2">
      <c r="A1461" t="s">
        <v>538</v>
      </c>
      <c r="B1461" t="s">
        <v>1116</v>
      </c>
    </row>
    <row r="1462" spans="1:2" x14ac:dyDescent="0.2">
      <c r="A1462" t="s">
        <v>676</v>
      </c>
      <c r="B1462" t="s">
        <v>1907</v>
      </c>
    </row>
    <row r="1463" spans="1:2" x14ac:dyDescent="0.2">
      <c r="A1463" t="s">
        <v>1657</v>
      </c>
      <c r="B1463" t="s">
        <v>1736</v>
      </c>
    </row>
    <row r="1464" spans="1:2" x14ac:dyDescent="0.2">
      <c r="A1464" t="s">
        <v>1672</v>
      </c>
      <c r="B1464" t="s">
        <v>1735</v>
      </c>
    </row>
    <row r="1465" spans="1:2" x14ac:dyDescent="0.2">
      <c r="A1465" t="s">
        <v>1690</v>
      </c>
      <c r="B1465" t="s">
        <v>1734</v>
      </c>
    </row>
    <row r="1466" spans="1:2" x14ac:dyDescent="0.2">
      <c r="A1466" t="s">
        <v>1658</v>
      </c>
      <c r="B1466" t="s">
        <v>1734</v>
      </c>
    </row>
    <row r="1467" spans="1:2" x14ac:dyDescent="0.2">
      <c r="A1467" t="s">
        <v>919</v>
      </c>
      <c r="B1467" t="s">
        <v>1501</v>
      </c>
    </row>
    <row r="1468" spans="1:2" x14ac:dyDescent="0.2">
      <c r="A1468" t="s">
        <v>1571</v>
      </c>
      <c r="B1468" t="s">
        <v>947</v>
      </c>
    </row>
    <row r="1469" spans="1:2" x14ac:dyDescent="0.2">
      <c r="A1469" t="s">
        <v>1572</v>
      </c>
      <c r="B1469" t="s">
        <v>947</v>
      </c>
    </row>
    <row r="1470" spans="1:2" x14ac:dyDescent="0.2">
      <c r="A1470" t="s">
        <v>1573</v>
      </c>
      <c r="B1470" t="s">
        <v>947</v>
      </c>
    </row>
    <row r="1471" spans="1:2" x14ac:dyDescent="0.2">
      <c r="A1471" t="s">
        <v>1598</v>
      </c>
      <c r="B1471" t="s">
        <v>1075</v>
      </c>
    </row>
    <row r="1472" spans="1:2" x14ac:dyDescent="0.2">
      <c r="A1472" t="s">
        <v>1569</v>
      </c>
      <c r="B1472" t="s">
        <v>970</v>
      </c>
    </row>
    <row r="1473" spans="1:2" x14ac:dyDescent="0.2">
      <c r="A1473" t="s">
        <v>1570</v>
      </c>
      <c r="B1473" t="s">
        <v>970</v>
      </c>
    </row>
    <row r="1474" spans="1:2" x14ac:dyDescent="0.2">
      <c r="A1474" t="s">
        <v>1597</v>
      </c>
      <c r="B1474" s="21" t="s">
        <v>932</v>
      </c>
    </row>
    <row r="1475" spans="1:2" x14ac:dyDescent="0.2">
      <c r="A1475" t="s">
        <v>1596</v>
      </c>
      <c r="B1475" s="21" t="s">
        <v>932</v>
      </c>
    </row>
    <row r="1476" spans="1:2" x14ac:dyDescent="0.2">
      <c r="A1476" t="s">
        <v>399</v>
      </c>
      <c r="B1476" t="s">
        <v>1075</v>
      </c>
    </row>
    <row r="1477" spans="1:2" x14ac:dyDescent="0.2">
      <c r="A1477" t="s">
        <v>1691</v>
      </c>
      <c r="B1477" t="s">
        <v>1735</v>
      </c>
    </row>
    <row r="1478" spans="1:2" x14ac:dyDescent="0.2">
      <c r="A1478" t="s">
        <v>1626</v>
      </c>
      <c r="B1478" t="s">
        <v>1497</v>
      </c>
    </row>
    <row r="1479" spans="1:2" x14ac:dyDescent="0.2">
      <c r="A1479" t="s">
        <v>1627</v>
      </c>
      <c r="B1479" t="s">
        <v>1497</v>
      </c>
    </row>
    <row r="1480" spans="1:2" x14ac:dyDescent="0.2">
      <c r="A1480" t="s">
        <v>1654</v>
      </c>
      <c r="B1480" t="s">
        <v>1015</v>
      </c>
    </row>
    <row r="1481" spans="1:2" x14ac:dyDescent="0.2">
      <c r="A1481" t="s">
        <v>1732</v>
      </c>
      <c r="B1481" t="s">
        <v>1015</v>
      </c>
    </row>
    <row r="1482" spans="1:2" x14ac:dyDescent="0.2">
      <c r="A1482" t="s">
        <v>1692</v>
      </c>
      <c r="B1482" t="s">
        <v>1015</v>
      </c>
    </row>
    <row r="1483" spans="1:2" x14ac:dyDescent="0.2">
      <c r="A1483" t="s">
        <v>1630</v>
      </c>
      <c r="B1483" t="s">
        <v>1015</v>
      </c>
    </row>
    <row r="1484" spans="1:2" x14ac:dyDescent="0.2">
      <c r="A1484" t="s">
        <v>1693</v>
      </c>
      <c r="B1484" t="s">
        <v>1015</v>
      </c>
    </row>
    <row r="1485" spans="1:2" x14ac:dyDescent="0.2">
      <c r="A1485" t="s">
        <v>1631</v>
      </c>
      <c r="B1485" t="s">
        <v>1015</v>
      </c>
    </row>
    <row r="1486" spans="1:2" x14ac:dyDescent="0.2">
      <c r="A1486" t="s">
        <v>1694</v>
      </c>
      <c r="B1486" t="s">
        <v>1015</v>
      </c>
    </row>
    <row r="1487" spans="1:2" x14ac:dyDescent="0.2">
      <c r="A1487" t="s">
        <v>1632</v>
      </c>
      <c r="B1487" t="s">
        <v>1015</v>
      </c>
    </row>
    <row r="1488" spans="1:2" x14ac:dyDescent="0.2">
      <c r="A1488" t="s">
        <v>1695</v>
      </c>
      <c r="B1488" t="s">
        <v>1015</v>
      </c>
    </row>
    <row r="1489" spans="1:2" x14ac:dyDescent="0.2">
      <c r="A1489" t="s">
        <v>1633</v>
      </c>
      <c r="B1489" t="s">
        <v>1015</v>
      </c>
    </row>
    <row r="1490" spans="1:2" x14ac:dyDescent="0.2">
      <c r="A1490" t="s">
        <v>1696</v>
      </c>
      <c r="B1490" t="s">
        <v>1015</v>
      </c>
    </row>
    <row r="1491" spans="1:2" x14ac:dyDescent="0.2">
      <c r="A1491" t="s">
        <v>1634</v>
      </c>
      <c r="B1491" t="s">
        <v>1015</v>
      </c>
    </row>
    <row r="1492" spans="1:2" x14ac:dyDescent="0.2">
      <c r="A1492" t="s">
        <v>1697</v>
      </c>
      <c r="B1492" t="s">
        <v>1015</v>
      </c>
    </row>
    <row r="1493" spans="1:2" x14ac:dyDescent="0.2">
      <c r="A1493" t="s">
        <v>1635</v>
      </c>
      <c r="B1493" t="s">
        <v>1015</v>
      </c>
    </row>
    <row r="1494" spans="1:2" x14ac:dyDescent="0.2">
      <c r="A1494" t="s">
        <v>1698</v>
      </c>
      <c r="B1494" t="s">
        <v>1015</v>
      </c>
    </row>
    <row r="1495" spans="1:2" x14ac:dyDescent="0.2">
      <c r="A1495" t="s">
        <v>1603</v>
      </c>
      <c r="B1495" t="s">
        <v>1734</v>
      </c>
    </row>
    <row r="1496" spans="1:2" x14ac:dyDescent="0.2">
      <c r="A1496" t="s">
        <v>1637</v>
      </c>
      <c r="B1496" t="s">
        <v>1734</v>
      </c>
    </row>
    <row r="1497" spans="1:2" x14ac:dyDescent="0.2">
      <c r="A1497" t="s">
        <v>1699</v>
      </c>
      <c r="B1497" s="21" t="s">
        <v>932</v>
      </c>
    </row>
    <row r="1498" spans="1:2" x14ac:dyDescent="0.2">
      <c r="A1498" t="s">
        <v>1700</v>
      </c>
      <c r="B1498" s="21" t="s">
        <v>932</v>
      </c>
    </row>
    <row r="1499" spans="1:2" x14ac:dyDescent="0.2">
      <c r="A1499" t="s">
        <v>1701</v>
      </c>
      <c r="B1499" s="21" t="s">
        <v>932</v>
      </c>
    </row>
    <row r="1500" spans="1:2" x14ac:dyDescent="0.2">
      <c r="A1500" t="s">
        <v>313</v>
      </c>
      <c r="B1500" s="21" t="s">
        <v>932</v>
      </c>
    </row>
    <row r="1501" spans="1:2" x14ac:dyDescent="0.2">
      <c r="A1501" t="s">
        <v>317</v>
      </c>
      <c r="B1501" s="21" t="s">
        <v>932</v>
      </c>
    </row>
    <row r="1502" spans="1:2" x14ac:dyDescent="0.2">
      <c r="A1502" t="s">
        <v>384</v>
      </c>
      <c r="B1502" s="21" t="s">
        <v>932</v>
      </c>
    </row>
    <row r="1503" spans="1:2" x14ac:dyDescent="0.2">
      <c r="A1503" t="s">
        <v>389</v>
      </c>
      <c r="B1503" s="21" t="s">
        <v>932</v>
      </c>
    </row>
    <row r="1504" spans="1:2" x14ac:dyDescent="0.2">
      <c r="A1504" t="s">
        <v>462</v>
      </c>
      <c r="B1504" s="21" t="s">
        <v>932</v>
      </c>
    </row>
    <row r="1505" spans="1:2" x14ac:dyDescent="0.2">
      <c r="A1505" t="s">
        <v>701</v>
      </c>
      <c r="B1505" s="21" t="s">
        <v>932</v>
      </c>
    </row>
    <row r="1506" spans="1:2" x14ac:dyDescent="0.2">
      <c r="A1506" t="s">
        <v>1625</v>
      </c>
      <c r="B1506" t="s">
        <v>1079</v>
      </c>
    </row>
    <row r="1507" spans="1:2" x14ac:dyDescent="0.2">
      <c r="A1507" t="s">
        <v>296</v>
      </c>
      <c r="B1507" s="28" t="s">
        <v>1546</v>
      </c>
    </row>
    <row r="1508" spans="1:2" x14ac:dyDescent="0.2">
      <c r="A1508" t="s">
        <v>297</v>
      </c>
      <c r="B1508" s="28" t="s">
        <v>1546</v>
      </c>
    </row>
    <row r="1509" spans="1:2" x14ac:dyDescent="0.2">
      <c r="A1509" t="s">
        <v>300</v>
      </c>
      <c r="B1509" s="28" t="s">
        <v>1546</v>
      </c>
    </row>
    <row r="1510" spans="1:2" x14ac:dyDescent="0.2">
      <c r="A1510" t="s">
        <v>303</v>
      </c>
      <c r="B1510" s="28" t="s">
        <v>1546</v>
      </c>
    </row>
    <row r="1511" spans="1:2" x14ac:dyDescent="0.2">
      <c r="A1511" t="s">
        <v>304</v>
      </c>
      <c r="B1511" s="28" t="s">
        <v>1546</v>
      </c>
    </row>
    <row r="1512" spans="1:2" x14ac:dyDescent="0.2">
      <c r="A1512" t="s">
        <v>308</v>
      </c>
      <c r="B1512" s="28" t="s">
        <v>1546</v>
      </c>
    </row>
    <row r="1513" spans="1:2" x14ac:dyDescent="0.2">
      <c r="A1513" t="s">
        <v>553</v>
      </c>
      <c r="B1513" s="28" t="s">
        <v>1546</v>
      </c>
    </row>
    <row r="1514" spans="1:2" x14ac:dyDescent="0.2">
      <c r="A1514" t="s">
        <v>554</v>
      </c>
      <c r="B1514" s="28" t="s">
        <v>1546</v>
      </c>
    </row>
    <row r="1515" spans="1:2" x14ac:dyDescent="0.2">
      <c r="A1515" t="s">
        <v>325</v>
      </c>
      <c r="B1515" s="28" t="s">
        <v>1546</v>
      </c>
    </row>
    <row r="1516" spans="1:2" x14ac:dyDescent="0.2">
      <c r="A1516" t="s">
        <v>806</v>
      </c>
      <c r="B1516" s="28" t="s">
        <v>1546</v>
      </c>
    </row>
    <row r="1517" spans="1:2" x14ac:dyDescent="0.2">
      <c r="A1517" t="s">
        <v>881</v>
      </c>
      <c r="B1517" s="28" t="s">
        <v>1546</v>
      </c>
    </row>
    <row r="1518" spans="1:2" x14ac:dyDescent="0.2">
      <c r="A1518" t="s">
        <v>3</v>
      </c>
      <c r="B1518" s="28" t="s">
        <v>1546</v>
      </c>
    </row>
    <row r="1519" spans="1:2" x14ac:dyDescent="0.2">
      <c r="A1519" t="s">
        <v>5</v>
      </c>
      <c r="B1519" s="28" t="s">
        <v>1546</v>
      </c>
    </row>
    <row r="1520" spans="1:2" x14ac:dyDescent="0.2">
      <c r="A1520" t="s">
        <v>9</v>
      </c>
      <c r="B1520" s="28" t="s">
        <v>1740</v>
      </c>
    </row>
    <row r="1521" spans="1:2" x14ac:dyDescent="0.2">
      <c r="A1521" t="s">
        <v>10</v>
      </c>
      <c r="B1521" s="28" t="s">
        <v>1740</v>
      </c>
    </row>
    <row r="1522" spans="1:2" x14ac:dyDescent="0.2">
      <c r="A1522" t="s">
        <v>11</v>
      </c>
      <c r="B1522" s="28" t="s">
        <v>1141</v>
      </c>
    </row>
    <row r="1523" spans="1:2" x14ac:dyDescent="0.2">
      <c r="A1523" t="s">
        <v>13</v>
      </c>
      <c r="B1523" s="28" t="s">
        <v>1057</v>
      </c>
    </row>
    <row r="1524" spans="1:2" x14ac:dyDescent="0.2">
      <c r="A1524" t="s">
        <v>14</v>
      </c>
      <c r="B1524" s="28" t="s">
        <v>1740</v>
      </c>
    </row>
    <row r="1525" spans="1:2" x14ac:dyDescent="0.2">
      <c r="A1525" t="s">
        <v>15</v>
      </c>
      <c r="B1525" s="28" t="s">
        <v>1740</v>
      </c>
    </row>
    <row r="1526" spans="1:2" x14ac:dyDescent="0.2">
      <c r="A1526" t="s">
        <v>17</v>
      </c>
      <c r="B1526" s="28" t="s">
        <v>1741</v>
      </c>
    </row>
    <row r="1527" spans="1:2" x14ac:dyDescent="0.2">
      <c r="A1527" t="s">
        <v>18</v>
      </c>
      <c r="B1527" s="28" t="s">
        <v>1741</v>
      </c>
    </row>
    <row r="1528" spans="1:2" x14ac:dyDescent="0.2">
      <c r="A1528" t="s">
        <v>19</v>
      </c>
      <c r="B1528" s="28" t="s">
        <v>1741</v>
      </c>
    </row>
    <row r="1529" spans="1:2" x14ac:dyDescent="0.2">
      <c r="A1529" t="s">
        <v>20</v>
      </c>
      <c r="B1529" s="28" t="s">
        <v>1741</v>
      </c>
    </row>
    <row r="1530" spans="1:2" x14ac:dyDescent="0.2">
      <c r="A1530" t="s">
        <v>21</v>
      </c>
      <c r="B1530" s="28" t="s">
        <v>1742</v>
      </c>
    </row>
    <row r="1531" spans="1:2" x14ac:dyDescent="0.2">
      <c r="A1531" t="s">
        <v>22</v>
      </c>
      <c r="B1531" s="28" t="s">
        <v>1742</v>
      </c>
    </row>
    <row r="1532" spans="1:2" x14ac:dyDescent="0.2">
      <c r="A1532" t="s">
        <v>23</v>
      </c>
      <c r="B1532" s="28" t="s">
        <v>1742</v>
      </c>
    </row>
    <row r="1533" spans="1:2" x14ac:dyDescent="0.2">
      <c r="A1533" t="s">
        <v>24</v>
      </c>
      <c r="B1533" s="28" t="s">
        <v>1742</v>
      </c>
    </row>
    <row r="1534" spans="1:2" x14ac:dyDescent="0.2">
      <c r="A1534" t="s">
        <v>25</v>
      </c>
      <c r="B1534" s="28" t="s">
        <v>1147</v>
      </c>
    </row>
    <row r="1535" spans="1:2" x14ac:dyDescent="0.2">
      <c r="A1535" t="s">
        <v>27</v>
      </c>
      <c r="B1535" s="28" t="s">
        <v>1116</v>
      </c>
    </row>
    <row r="1536" spans="1:2" x14ac:dyDescent="0.2">
      <c r="A1536" t="s">
        <v>28</v>
      </c>
      <c r="B1536" s="28" t="s">
        <v>1116</v>
      </c>
    </row>
    <row r="1537" spans="1:2" x14ac:dyDescent="0.2">
      <c r="A1537" t="s">
        <v>29</v>
      </c>
      <c r="B1537" s="28" t="s">
        <v>1091</v>
      </c>
    </row>
    <row r="1538" spans="1:2" x14ac:dyDescent="0.2">
      <c r="A1538" t="s">
        <v>1738</v>
      </c>
      <c r="B1538" s="28" t="s">
        <v>1546</v>
      </c>
    </row>
    <row r="1539" spans="1:2" x14ac:dyDescent="0.2">
      <c r="A1539" t="s">
        <v>1743</v>
      </c>
      <c r="B1539" s="28" t="s">
        <v>1546</v>
      </c>
    </row>
    <row r="1540" spans="1:2" x14ac:dyDescent="0.2">
      <c r="A1540" t="s">
        <v>1744</v>
      </c>
      <c r="B1540" s="28" t="s">
        <v>1546</v>
      </c>
    </row>
    <row r="1541" spans="1:2" x14ac:dyDescent="0.2">
      <c r="A1541" t="s">
        <v>1747</v>
      </c>
      <c r="B1541" s="28" t="s">
        <v>1546</v>
      </c>
    </row>
    <row r="1542" spans="1:2" x14ac:dyDescent="0.2">
      <c r="A1542" t="s">
        <v>1746</v>
      </c>
      <c r="B1542" s="28" t="s">
        <v>1546</v>
      </c>
    </row>
    <row r="1543" spans="1:2" x14ac:dyDescent="0.2">
      <c r="A1543" t="s">
        <v>1748</v>
      </c>
      <c r="B1543" s="28" t="s">
        <v>1079</v>
      </c>
    </row>
    <row r="1544" spans="1:2" x14ac:dyDescent="0.2">
      <c r="A1544" t="s">
        <v>31</v>
      </c>
      <c r="B1544" t="s">
        <v>1091</v>
      </c>
    </row>
    <row r="1545" spans="1:2" x14ac:dyDescent="0.2">
      <c r="A1545" t="s">
        <v>32</v>
      </c>
      <c r="B1545" s="21" t="s">
        <v>932</v>
      </c>
    </row>
    <row r="1546" spans="1:2" x14ac:dyDescent="0.2">
      <c r="A1546" t="s">
        <v>35</v>
      </c>
      <c r="B1546" s="21" t="s">
        <v>932</v>
      </c>
    </row>
    <row r="1547" spans="1:2" x14ac:dyDescent="0.2">
      <c r="A1547" t="s">
        <v>37</v>
      </c>
      <c r="B1547" s="21" t="s">
        <v>932</v>
      </c>
    </row>
    <row r="1548" spans="1:2" x14ac:dyDescent="0.2">
      <c r="A1548" t="s">
        <v>40</v>
      </c>
      <c r="B1548" s="28" t="s">
        <v>1546</v>
      </c>
    </row>
    <row r="1549" spans="1:2" x14ac:dyDescent="0.2">
      <c r="A1549" t="s">
        <v>1745</v>
      </c>
      <c r="B1549" s="28" t="s">
        <v>1546</v>
      </c>
    </row>
    <row r="1550" spans="1:2" x14ac:dyDescent="0.2">
      <c r="A1550" t="s">
        <v>306</v>
      </c>
      <c r="B1550" s="28" t="s">
        <v>1546</v>
      </c>
    </row>
    <row r="1551" spans="1:2" x14ac:dyDescent="0.2">
      <c r="A1551" t="s">
        <v>140</v>
      </c>
      <c r="B1551" s="28" t="s">
        <v>1546</v>
      </c>
    </row>
    <row r="1552" spans="1:2" x14ac:dyDescent="0.2">
      <c r="A1552" t="s">
        <v>141</v>
      </c>
      <c r="B1552" s="28" t="s">
        <v>1546</v>
      </c>
    </row>
    <row r="1553" spans="1:2" x14ac:dyDescent="0.2">
      <c r="A1553" t="s">
        <v>1755</v>
      </c>
      <c r="B1553" s="21" t="s">
        <v>932</v>
      </c>
    </row>
    <row r="1554" spans="1:2" x14ac:dyDescent="0.2">
      <c r="A1554" t="s">
        <v>1756</v>
      </c>
      <c r="B1554" s="21" t="s">
        <v>932</v>
      </c>
    </row>
    <row r="1555" spans="1:2" x14ac:dyDescent="0.2">
      <c r="A1555" t="s">
        <v>121</v>
      </c>
      <c r="B1555" t="s">
        <v>970</v>
      </c>
    </row>
    <row r="1556" spans="1:2" x14ac:dyDescent="0.2">
      <c r="A1556" t="s">
        <v>560</v>
      </c>
      <c r="B1556" t="s">
        <v>970</v>
      </c>
    </row>
    <row r="1557" spans="1:2" x14ac:dyDescent="0.2">
      <c r="A1557" t="s">
        <v>1759</v>
      </c>
      <c r="B1557" t="s">
        <v>1015</v>
      </c>
    </row>
    <row r="1558" spans="1:2" x14ac:dyDescent="0.2">
      <c r="A1558" t="s">
        <v>1761</v>
      </c>
      <c r="B1558" t="s">
        <v>1015</v>
      </c>
    </row>
    <row r="1559" spans="1:2" x14ac:dyDescent="0.2">
      <c r="A1559" t="s">
        <v>1765</v>
      </c>
      <c r="B1559" s="28" t="s">
        <v>999</v>
      </c>
    </row>
    <row r="1560" spans="1:2" x14ac:dyDescent="0.2">
      <c r="A1560" t="s">
        <v>1767</v>
      </c>
      <c r="B1560" s="28" t="s">
        <v>1546</v>
      </c>
    </row>
    <row r="1561" spans="1:2" x14ac:dyDescent="0.2">
      <c r="A1561" t="s">
        <v>1776</v>
      </c>
      <c r="B1561" s="28" t="s">
        <v>1546</v>
      </c>
    </row>
    <row r="1562" spans="1:2" x14ac:dyDescent="0.2">
      <c r="A1562" t="s">
        <v>1778</v>
      </c>
      <c r="B1562" s="21" t="s">
        <v>932</v>
      </c>
    </row>
    <row r="1563" spans="1:2" x14ac:dyDescent="0.2">
      <c r="A1563" t="s">
        <v>1780</v>
      </c>
      <c r="B1563" s="28" t="s">
        <v>1546</v>
      </c>
    </row>
    <row r="1564" spans="1:2" x14ac:dyDescent="0.2">
      <c r="A1564" t="s">
        <v>1783</v>
      </c>
      <c r="B1564" t="s">
        <v>1147</v>
      </c>
    </row>
    <row r="1565" spans="1:2" x14ac:dyDescent="0.2">
      <c r="A1565" t="s">
        <v>1784</v>
      </c>
      <c r="B1565" t="s">
        <v>1184</v>
      </c>
    </row>
    <row r="1566" spans="1:2" x14ac:dyDescent="0.2">
      <c r="A1566" t="s">
        <v>1786</v>
      </c>
      <c r="B1566" t="s">
        <v>999</v>
      </c>
    </row>
    <row r="1567" spans="1:2" x14ac:dyDescent="0.2">
      <c r="A1567" t="s">
        <v>1789</v>
      </c>
      <c r="B1567" t="s">
        <v>1546</v>
      </c>
    </row>
    <row r="1568" spans="1:2" x14ac:dyDescent="0.2">
      <c r="A1568" t="s">
        <v>1792</v>
      </c>
      <c r="B1568" t="s">
        <v>1512</v>
      </c>
    </row>
    <row r="1569" spans="1:2" x14ac:dyDescent="0.2">
      <c r="A1569" t="s">
        <v>1793</v>
      </c>
      <c r="B1569" t="s">
        <v>1512</v>
      </c>
    </row>
    <row r="1570" spans="1:2" x14ac:dyDescent="0.2">
      <c r="A1570" t="s">
        <v>1796</v>
      </c>
      <c r="B1570" t="s">
        <v>1091</v>
      </c>
    </row>
    <row r="1571" spans="1:2" x14ac:dyDescent="0.2">
      <c r="A1571" t="s">
        <v>1797</v>
      </c>
      <c r="B1571" t="s">
        <v>970</v>
      </c>
    </row>
    <row r="1572" spans="1:2" x14ac:dyDescent="0.2">
      <c r="A1572" t="s">
        <v>1798</v>
      </c>
      <c r="B1572" t="s">
        <v>947</v>
      </c>
    </row>
    <row r="1573" spans="1:2" x14ac:dyDescent="0.2">
      <c r="A1573" t="s">
        <v>1799</v>
      </c>
      <c r="B1573" s="28" t="s">
        <v>1005</v>
      </c>
    </row>
    <row r="1574" spans="1:2" x14ac:dyDescent="0.2">
      <c r="A1574" t="s">
        <v>1809</v>
      </c>
      <c r="B1574" t="s">
        <v>1546</v>
      </c>
    </row>
    <row r="1575" spans="1:2" x14ac:dyDescent="0.2">
      <c r="A1575" t="s">
        <v>1804</v>
      </c>
      <c r="B1575" t="s">
        <v>970</v>
      </c>
    </row>
    <row r="1576" spans="1:2" x14ac:dyDescent="0.2">
      <c r="A1576" t="s">
        <v>1801</v>
      </c>
      <c r="B1576" t="s">
        <v>1091</v>
      </c>
    </row>
    <row r="1577" spans="1:2" x14ac:dyDescent="0.2">
      <c r="A1577" t="s">
        <v>1805</v>
      </c>
      <c r="B1577" t="s">
        <v>1091</v>
      </c>
    </row>
    <row r="1578" spans="1:2" x14ac:dyDescent="0.2">
      <c r="A1578" t="s">
        <v>1806</v>
      </c>
      <c r="B1578" t="s">
        <v>1079</v>
      </c>
    </row>
    <row r="1579" spans="1:2" x14ac:dyDescent="0.2">
      <c r="A1579" t="s">
        <v>1807</v>
      </c>
      <c r="B1579" t="s">
        <v>1546</v>
      </c>
    </row>
    <row r="1580" spans="1:2" x14ac:dyDescent="0.2">
      <c r="A1580" t="s">
        <v>1808</v>
      </c>
      <c r="B1580" t="s">
        <v>1091</v>
      </c>
    </row>
    <row r="1581" spans="1:2" x14ac:dyDescent="0.2">
      <c r="A1581" t="s">
        <v>1813</v>
      </c>
      <c r="B1581" t="s">
        <v>932</v>
      </c>
    </row>
    <row r="1582" spans="1:2" x14ac:dyDescent="0.2">
      <c r="A1582" t="s">
        <v>1823</v>
      </c>
      <c r="B1582" t="s">
        <v>1015</v>
      </c>
    </row>
    <row r="1583" spans="1:2" x14ac:dyDescent="0.2">
      <c r="A1583" t="s">
        <v>1818</v>
      </c>
      <c r="B1583" t="s">
        <v>1546</v>
      </c>
    </row>
    <row r="1584" spans="1:2" x14ac:dyDescent="0.2">
      <c r="A1584" t="s">
        <v>1824</v>
      </c>
      <c r="B1584" t="s">
        <v>932</v>
      </c>
    </row>
    <row r="1585" spans="1:2" x14ac:dyDescent="0.2">
      <c r="A1585" t="s">
        <v>1819</v>
      </c>
      <c r="B1585" t="s">
        <v>1015</v>
      </c>
    </row>
    <row r="1586" spans="1:2" x14ac:dyDescent="0.2">
      <c r="A1586" t="s">
        <v>1825</v>
      </c>
      <c r="B1586" t="s">
        <v>1079</v>
      </c>
    </row>
    <row r="1587" spans="1:2" x14ac:dyDescent="0.2">
      <c r="A1587" t="s">
        <v>1821</v>
      </c>
      <c r="B1587" t="s">
        <v>1079</v>
      </c>
    </row>
    <row r="1588" spans="1:2" x14ac:dyDescent="0.2">
      <c r="A1588" t="s">
        <v>1826</v>
      </c>
      <c r="B1588" t="s">
        <v>1079</v>
      </c>
    </row>
    <row r="1589" spans="1:2" x14ac:dyDescent="0.2">
      <c r="A1589" t="s">
        <v>1815</v>
      </c>
      <c r="B1589" t="s">
        <v>932</v>
      </c>
    </row>
    <row r="1590" spans="1:2" x14ac:dyDescent="0.2">
      <c r="A1590" t="s">
        <v>1822</v>
      </c>
      <c r="B1590" t="s">
        <v>1015</v>
      </c>
    </row>
    <row r="1591" spans="1:2" x14ac:dyDescent="0.2">
      <c r="A1591" t="s">
        <v>1816</v>
      </c>
      <c r="B1591" t="s">
        <v>1091</v>
      </c>
    </row>
    <row r="1592" spans="1:2" x14ac:dyDescent="0.2">
      <c r="A1592" t="s">
        <v>1827</v>
      </c>
      <c r="B1592" t="s">
        <v>1015</v>
      </c>
    </row>
    <row r="1593" spans="1:2" x14ac:dyDescent="0.2">
      <c r="A1593" t="s">
        <v>1829</v>
      </c>
      <c r="B1593" t="s">
        <v>1015</v>
      </c>
    </row>
    <row r="1594" spans="1:2" x14ac:dyDescent="0.2">
      <c r="A1594" t="s">
        <v>1830</v>
      </c>
      <c r="B1594" t="s">
        <v>1015</v>
      </c>
    </row>
    <row r="1595" spans="1:2" x14ac:dyDescent="0.2">
      <c r="A1595" t="s">
        <v>1832</v>
      </c>
      <c r="B1595" t="s">
        <v>947</v>
      </c>
    </row>
    <row r="1596" spans="1:2" x14ac:dyDescent="0.2">
      <c r="A1596" t="s">
        <v>1833</v>
      </c>
      <c r="B1596" t="s">
        <v>932</v>
      </c>
    </row>
    <row r="1597" spans="1:2" x14ac:dyDescent="0.2">
      <c r="A1597" t="s">
        <v>1834</v>
      </c>
      <c r="B1597" s="28" t="s">
        <v>1015</v>
      </c>
    </row>
    <row r="1598" spans="1:2" x14ac:dyDescent="0.2">
      <c r="A1598" t="s">
        <v>1835</v>
      </c>
      <c r="B1598" t="s">
        <v>932</v>
      </c>
    </row>
    <row r="1599" spans="1:2" x14ac:dyDescent="0.2">
      <c r="A1599" t="s">
        <v>1836</v>
      </c>
      <c r="B1599" t="s">
        <v>1015</v>
      </c>
    </row>
    <row r="1600" spans="1:2" x14ac:dyDescent="0.2">
      <c r="A1600" t="s">
        <v>1838</v>
      </c>
      <c r="B1600" t="s">
        <v>932</v>
      </c>
    </row>
    <row r="1601" spans="1:2" x14ac:dyDescent="0.2">
      <c r="A1601" t="s">
        <v>1842</v>
      </c>
      <c r="B1601" s="28" t="s">
        <v>1185</v>
      </c>
    </row>
    <row r="1602" spans="1:2" x14ac:dyDescent="0.2">
      <c r="A1602" t="s">
        <v>1843</v>
      </c>
      <c r="B1602" s="28" t="s">
        <v>1185</v>
      </c>
    </row>
    <row r="1603" spans="1:2" x14ac:dyDescent="0.2">
      <c r="A1603" t="s">
        <v>1841</v>
      </c>
      <c r="B1603" s="28" t="s">
        <v>1075</v>
      </c>
    </row>
    <row r="1604" spans="1:2" x14ac:dyDescent="0.2">
      <c r="A1604" t="s">
        <v>1844</v>
      </c>
      <c r="B1604" s="28" t="s">
        <v>1075</v>
      </c>
    </row>
    <row r="1605" spans="1:2" x14ac:dyDescent="0.2">
      <c r="A1605" t="s">
        <v>1849</v>
      </c>
      <c r="B1605" s="28" t="s">
        <v>1116</v>
      </c>
    </row>
    <row r="1606" spans="1:2" x14ac:dyDescent="0.2">
      <c r="A1606" t="s">
        <v>1851</v>
      </c>
      <c r="B1606" t="s">
        <v>947</v>
      </c>
    </row>
    <row r="1607" spans="1:2" x14ac:dyDescent="0.2">
      <c r="A1607" t="s">
        <v>1855</v>
      </c>
      <c r="B1607" t="s">
        <v>947</v>
      </c>
    </row>
    <row r="1608" spans="1:2" x14ac:dyDescent="0.2">
      <c r="A1608" t="s">
        <v>1857</v>
      </c>
      <c r="B1608" s="28" t="s">
        <v>1116</v>
      </c>
    </row>
    <row r="1609" spans="1:2" x14ac:dyDescent="0.2">
      <c r="A1609" t="s">
        <v>1858</v>
      </c>
      <c r="B1609" t="s">
        <v>1091</v>
      </c>
    </row>
    <row r="1610" spans="1:2" x14ac:dyDescent="0.2">
      <c r="A1610" t="s">
        <v>1860</v>
      </c>
      <c r="B1610" s="28" t="s">
        <v>1075</v>
      </c>
    </row>
    <row r="1611" spans="1:2" x14ac:dyDescent="0.2">
      <c r="A1611" t="s">
        <v>1861</v>
      </c>
      <c r="B1611" t="s">
        <v>932</v>
      </c>
    </row>
    <row r="1612" spans="1:2" x14ac:dyDescent="0.2">
      <c r="A1612" t="s">
        <v>1862</v>
      </c>
      <c r="B1612" s="21" t="s">
        <v>1057</v>
      </c>
    </row>
    <row r="1613" spans="1:2" x14ac:dyDescent="0.2">
      <c r="A1613" t="s">
        <v>1863</v>
      </c>
      <c r="B1613" s="21" t="s">
        <v>1057</v>
      </c>
    </row>
    <row r="1614" spans="1:2" x14ac:dyDescent="0.2">
      <c r="A1614" t="s">
        <v>1864</v>
      </c>
      <c r="B1614" t="s">
        <v>947</v>
      </c>
    </row>
    <row r="1615" spans="1:2" x14ac:dyDescent="0.2">
      <c r="A1615" t="s">
        <v>1865</v>
      </c>
      <c r="B1615" t="s">
        <v>1091</v>
      </c>
    </row>
    <row r="1616" spans="1:2" x14ac:dyDescent="0.2">
      <c r="A1616" t="s">
        <v>1867</v>
      </c>
      <c r="B1616" t="s">
        <v>1147</v>
      </c>
    </row>
    <row r="1617" spans="1:2" x14ac:dyDescent="0.2">
      <c r="A1617" t="s">
        <v>1868</v>
      </c>
      <c r="B1617" t="s">
        <v>1147</v>
      </c>
    </row>
    <row r="1618" spans="1:2" x14ac:dyDescent="0.2">
      <c r="A1618" t="s">
        <v>1872</v>
      </c>
      <c r="B1618" s="28" t="s">
        <v>1460</v>
      </c>
    </row>
    <row r="1619" spans="1:2" x14ac:dyDescent="0.2">
      <c r="A1619" t="s">
        <v>1873</v>
      </c>
      <c r="B1619" s="28" t="s">
        <v>1460</v>
      </c>
    </row>
    <row r="1620" spans="1:2" x14ac:dyDescent="0.2">
      <c r="A1620" t="s">
        <v>1875</v>
      </c>
      <c r="B1620" t="s">
        <v>1091</v>
      </c>
    </row>
    <row r="1621" spans="1:2" x14ac:dyDescent="0.2">
      <c r="A1621" t="s">
        <v>1877</v>
      </c>
      <c r="B1621" t="s">
        <v>1015</v>
      </c>
    </row>
    <row r="1622" spans="1:2" x14ac:dyDescent="0.2">
      <c r="A1622" t="s">
        <v>1878</v>
      </c>
      <c r="B1622" t="s">
        <v>1091</v>
      </c>
    </row>
    <row r="1623" spans="1:2" x14ac:dyDescent="0.2">
      <c r="A1623" t="s">
        <v>1879</v>
      </c>
      <c r="B1623" s="28" t="s">
        <v>1185</v>
      </c>
    </row>
    <row r="1624" spans="1:2" x14ac:dyDescent="0.2">
      <c r="A1624" t="s">
        <v>1880</v>
      </c>
      <c r="B1624" t="s">
        <v>1091</v>
      </c>
    </row>
    <row r="1625" spans="1:2" x14ac:dyDescent="0.2">
      <c r="A1625" t="s">
        <v>1881</v>
      </c>
      <c r="B1625" s="28" t="s">
        <v>1460</v>
      </c>
    </row>
    <row r="1626" spans="1:2" x14ac:dyDescent="0.2">
      <c r="A1626" t="s">
        <v>1882</v>
      </c>
      <c r="B1626" s="28" t="s">
        <v>1079</v>
      </c>
    </row>
    <row r="1627" spans="1:2" x14ac:dyDescent="0.2">
      <c r="A1627" t="s">
        <v>1887</v>
      </c>
      <c r="B1627" t="s">
        <v>1057</v>
      </c>
    </row>
    <row r="1628" spans="1:2" x14ac:dyDescent="0.2">
      <c r="A1628" t="s">
        <v>1888</v>
      </c>
      <c r="B1628" t="s">
        <v>1075</v>
      </c>
    </row>
    <row r="1629" spans="1:2" x14ac:dyDescent="0.2">
      <c r="A1629" t="s">
        <v>1884</v>
      </c>
      <c r="B1629" t="s">
        <v>1460</v>
      </c>
    </row>
    <row r="1630" spans="1:2" x14ac:dyDescent="0.2">
      <c r="A1630" t="s">
        <v>1885</v>
      </c>
      <c r="B1630" t="s">
        <v>1460</v>
      </c>
    </row>
    <row r="1631" spans="1:2" x14ac:dyDescent="0.2">
      <c r="A1631" t="s">
        <v>1890</v>
      </c>
      <c r="B1631" t="s">
        <v>1460</v>
      </c>
    </row>
    <row r="1632" spans="1:2" x14ac:dyDescent="0.2">
      <c r="A1632" t="s">
        <v>1891</v>
      </c>
      <c r="B1632" t="s">
        <v>1460</v>
      </c>
    </row>
    <row r="1633" spans="1:2" x14ac:dyDescent="0.2">
      <c r="A1633" t="s">
        <v>1892</v>
      </c>
      <c r="B1633" t="s">
        <v>970</v>
      </c>
    </row>
    <row r="1634" spans="1:2" x14ac:dyDescent="0.2">
      <c r="A1634" t="s">
        <v>1895</v>
      </c>
      <c r="B1634" t="s">
        <v>970</v>
      </c>
    </row>
    <row r="1635" spans="1:2" x14ac:dyDescent="0.2">
      <c r="A1635" t="s">
        <v>1886</v>
      </c>
      <c r="B1635" t="s">
        <v>1460</v>
      </c>
    </row>
    <row r="1636" spans="1:2" x14ac:dyDescent="0.2">
      <c r="A1636" t="s">
        <v>1897</v>
      </c>
      <c r="B1636" t="s">
        <v>970</v>
      </c>
    </row>
    <row r="1637" spans="1:2" x14ac:dyDescent="0.2">
      <c r="A1637" t="s">
        <v>1898</v>
      </c>
      <c r="B1637" t="s">
        <v>970</v>
      </c>
    </row>
    <row r="1638" spans="1:2" x14ac:dyDescent="0.2">
      <c r="A1638" t="s">
        <v>1900</v>
      </c>
      <c r="B1638" t="s">
        <v>947</v>
      </c>
    </row>
    <row r="1639" spans="1:2" x14ac:dyDescent="0.2">
      <c r="A1639" t="s">
        <v>1902</v>
      </c>
      <c r="B1639" t="s">
        <v>1015</v>
      </c>
    </row>
    <row r="1640" spans="1:2" x14ac:dyDescent="0.2">
      <c r="A1640" t="s">
        <v>1903</v>
      </c>
      <c r="B1640" t="s">
        <v>947</v>
      </c>
    </row>
    <row r="1641" spans="1:2" x14ac:dyDescent="0.2">
      <c r="A1641" t="s">
        <v>1905</v>
      </c>
      <c r="B1641" s="28" t="s">
        <v>1079</v>
      </c>
    </row>
    <row r="1642" spans="1:2" x14ac:dyDescent="0.2">
      <c r="A1642" t="s">
        <v>1913</v>
      </c>
      <c r="B1642" s="28" t="s">
        <v>1091</v>
      </c>
    </row>
    <row r="1643" spans="1:2" x14ac:dyDescent="0.2">
      <c r="A1643" t="s">
        <v>1917</v>
      </c>
      <c r="B1643" t="s">
        <v>970</v>
      </c>
    </row>
    <row r="1644" spans="1:2" x14ac:dyDescent="0.2">
      <c r="A1644" t="s">
        <v>1918</v>
      </c>
      <c r="B1644" s="28" t="s">
        <v>1079</v>
      </c>
    </row>
    <row r="1645" spans="1:2" x14ac:dyDescent="0.2">
      <c r="A1645" t="s">
        <v>1921</v>
      </c>
      <c r="B1645" t="s">
        <v>1079</v>
      </c>
    </row>
    <row r="1646" spans="1:2" x14ac:dyDescent="0.2">
      <c r="A1646" t="s">
        <v>1922</v>
      </c>
      <c r="B1646" t="s">
        <v>1079</v>
      </c>
    </row>
    <row r="1647" spans="1:2" x14ac:dyDescent="0.2">
      <c r="A1647" t="s">
        <v>1923</v>
      </c>
      <c r="B1647" t="s">
        <v>1079</v>
      </c>
    </row>
  </sheetData>
  <autoFilter ref="A1:C1623" xr:uid="{00000000-0009-0000-0000-000001000000}"/>
  <conditionalFormatting sqref="A2:A505">
    <cfRule type="duplicateValues" dxfId="25" priority="12"/>
    <cfRule type="duplicateValues" dxfId="24" priority="13"/>
  </conditionalFormatting>
  <conditionalFormatting sqref="A2:A505">
    <cfRule type="duplicateValues" dxfId="23" priority="14"/>
  </conditionalFormatting>
  <conditionalFormatting sqref="A2:A595">
    <cfRule type="duplicateValues" dxfId="22" priority="11"/>
  </conditionalFormatting>
  <conditionalFormatting sqref="B2:B172 B176:B244 B246:B521">
    <cfRule type="duplicateValues" dxfId="21" priority="10"/>
  </conditionalFormatting>
  <conditionalFormatting sqref="B607">
    <cfRule type="duplicateValues" dxfId="20" priority="5"/>
  </conditionalFormatting>
  <conditionalFormatting sqref="B616:B618">
    <cfRule type="duplicateValues" dxfId="19" priority="4"/>
  </conditionalFormatting>
  <conditionalFormatting sqref="B1562 B1553:B1554 B1545:B1547 B1497:B1505 B1474:B1475 B1460 B1320:B1326 B1317 B1304:B1308 B1288:B1299 B1189:B1192 B1181:B1182 B1173:B1175 B1156:B1159 B1141:B1147 B971:B979 B684:B729 B608 B599:B606 B585 B583 B579 B575 B568 B565 B558:B559 B553:B554 B549:B551 B539 B532">
    <cfRule type="duplicateValues" dxfId="18" priority="3"/>
  </conditionalFormatting>
  <conditionalFormatting sqref="B1612">
    <cfRule type="duplicateValues" dxfId="17" priority="2"/>
  </conditionalFormatting>
  <conditionalFormatting sqref="B1613">
    <cfRule type="duplicateValues" dxfId="16" priority="1"/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2"/>
  <sheetViews>
    <sheetView workbookViewId="0">
      <selection activeCell="A2" sqref="A2"/>
    </sheetView>
  </sheetViews>
  <sheetFormatPr defaultRowHeight="12.75" x14ac:dyDescent="0.2"/>
  <cols>
    <col min="1" max="1" width="11.5703125" customWidth="1"/>
    <col min="2" max="2" width="9.7109375" customWidth="1"/>
    <col min="4" max="4" width="17.85546875" customWidth="1"/>
    <col min="5" max="5" width="20.28515625" customWidth="1"/>
    <col min="6" max="6" width="21.42578125" customWidth="1"/>
    <col min="8" max="8" width="13.7109375" customWidth="1"/>
    <col min="9" max="9" width="15.85546875" customWidth="1"/>
    <col min="10" max="10" width="9.85546875" customWidth="1"/>
    <col min="11" max="11" width="12.7109375" customWidth="1"/>
    <col min="15" max="15" width="12.85546875" customWidth="1"/>
  </cols>
  <sheetData>
    <row r="1" spans="1:15" x14ac:dyDescent="0.2">
      <c r="A1" t="s">
        <v>920</v>
      </c>
      <c r="B1" t="s">
        <v>921</v>
      </c>
      <c r="C1" t="s">
        <v>922</v>
      </c>
      <c r="D1" t="s">
        <v>923</v>
      </c>
      <c r="E1" t="s">
        <v>924</v>
      </c>
      <c r="F1" t="s">
        <v>925</v>
      </c>
      <c r="G1" t="s">
        <v>1702</v>
      </c>
      <c r="H1" t="s">
        <v>926</v>
      </c>
      <c r="I1" t="s">
        <v>927</v>
      </c>
      <c r="J1" t="s">
        <v>928</v>
      </c>
      <c r="K1" t="s">
        <v>1739</v>
      </c>
      <c r="L1" t="s">
        <v>929</v>
      </c>
      <c r="M1" t="s">
        <v>1753</v>
      </c>
      <c r="N1" t="s">
        <v>1769</v>
      </c>
      <c r="O1" t="s">
        <v>1772</v>
      </c>
    </row>
    <row r="2" spans="1:15" x14ac:dyDescent="0.2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1779</v>
      </c>
      <c r="G2" t="s">
        <v>0</v>
      </c>
      <c r="H2">
        <v>75066.137000000002</v>
      </c>
      <c r="I2">
        <v>1314.9179999999999</v>
      </c>
      <c r="J2">
        <v>569.79</v>
      </c>
      <c r="K2">
        <v>76950.845000000001</v>
      </c>
      <c r="M2" t="s">
        <v>0</v>
      </c>
      <c r="N2" t="s">
        <v>0</v>
      </c>
      <c r="O2" t="s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3:H464"/>
  <sheetViews>
    <sheetView topLeftCell="A436" workbookViewId="0">
      <selection activeCell="A5" sqref="A5:A463"/>
    </sheetView>
  </sheetViews>
  <sheetFormatPr defaultRowHeight="12.75" x14ac:dyDescent="0.2"/>
  <cols>
    <col min="1" max="1" width="15" customWidth="1"/>
    <col min="2" max="2" width="49" bestFit="1" customWidth="1"/>
    <col min="3" max="3" width="7.7109375" bestFit="1" customWidth="1"/>
    <col min="4" max="4" width="13.28515625" customWidth="1"/>
    <col min="5" max="5" width="18.7109375" customWidth="1"/>
    <col min="6" max="6" width="20.85546875" bestFit="1" customWidth="1"/>
    <col min="7" max="7" width="14.7109375" bestFit="1" customWidth="1"/>
    <col min="8" max="8" width="17.7109375" customWidth="1"/>
  </cols>
  <sheetData>
    <row r="3" spans="1:8" x14ac:dyDescent="0.2">
      <c r="E3" s="30" t="s">
        <v>1926</v>
      </c>
    </row>
    <row r="4" spans="1:8" x14ac:dyDescent="0.2">
      <c r="A4" s="30" t="s">
        <v>921</v>
      </c>
      <c r="B4" s="30" t="s">
        <v>924</v>
      </c>
      <c r="C4" s="30" t="s">
        <v>922</v>
      </c>
      <c r="D4" s="30" t="s">
        <v>1772</v>
      </c>
      <c r="E4" t="s">
        <v>1750</v>
      </c>
      <c r="F4" t="s">
        <v>1751</v>
      </c>
      <c r="G4" t="s">
        <v>1752</v>
      </c>
      <c r="H4" t="s">
        <v>1934</v>
      </c>
    </row>
    <row r="5" spans="1:8" x14ac:dyDescent="0.2">
      <c r="A5" t="s">
        <v>52</v>
      </c>
      <c r="B5" t="s">
        <v>51</v>
      </c>
      <c r="C5" t="s">
        <v>1</v>
      </c>
      <c r="D5" t="s">
        <v>1773</v>
      </c>
      <c r="E5" s="31">
        <v>30</v>
      </c>
      <c r="F5" s="31">
        <v>0</v>
      </c>
      <c r="G5" s="31">
        <v>0</v>
      </c>
      <c r="H5" s="31">
        <v>30</v>
      </c>
    </row>
    <row r="6" spans="1:8" x14ac:dyDescent="0.2">
      <c r="A6" t="s">
        <v>52</v>
      </c>
      <c r="B6" t="s">
        <v>51</v>
      </c>
      <c r="C6" t="s">
        <v>1</v>
      </c>
      <c r="D6" t="s">
        <v>1774</v>
      </c>
      <c r="E6" s="31">
        <v>2</v>
      </c>
      <c r="F6" s="31">
        <v>1</v>
      </c>
      <c r="G6" s="31">
        <v>0</v>
      </c>
      <c r="H6" s="31">
        <v>3</v>
      </c>
    </row>
    <row r="7" spans="1:8" x14ac:dyDescent="0.2">
      <c r="A7" t="s">
        <v>52</v>
      </c>
      <c r="B7" t="s">
        <v>51</v>
      </c>
      <c r="C7" t="s">
        <v>1639</v>
      </c>
      <c r="D7" t="s">
        <v>1773</v>
      </c>
      <c r="E7" s="31">
        <v>42</v>
      </c>
      <c r="F7" s="31">
        <v>0</v>
      </c>
      <c r="G7" s="31">
        <v>0</v>
      </c>
      <c r="H7" s="31">
        <v>42</v>
      </c>
    </row>
    <row r="8" spans="1:8" x14ac:dyDescent="0.2">
      <c r="A8" t="s">
        <v>55</v>
      </c>
      <c r="B8" t="s">
        <v>54</v>
      </c>
      <c r="C8" t="s">
        <v>1639</v>
      </c>
      <c r="D8" t="s">
        <v>1773</v>
      </c>
      <c r="E8" s="31">
        <v>3</v>
      </c>
      <c r="F8" s="31">
        <v>0</v>
      </c>
      <c r="G8" s="31">
        <v>0</v>
      </c>
      <c r="H8" s="31">
        <v>3</v>
      </c>
    </row>
    <row r="9" spans="1:8" x14ac:dyDescent="0.2">
      <c r="A9" t="s">
        <v>1799</v>
      </c>
      <c r="B9" t="s">
        <v>26</v>
      </c>
      <c r="C9" t="s">
        <v>1</v>
      </c>
      <c r="D9" t="s">
        <v>1774</v>
      </c>
      <c r="E9" s="31">
        <v>0</v>
      </c>
      <c r="F9" s="31">
        <v>0</v>
      </c>
      <c r="G9" s="31">
        <v>2</v>
      </c>
      <c r="H9" s="31">
        <v>2</v>
      </c>
    </row>
    <row r="10" spans="1:8" x14ac:dyDescent="0.2">
      <c r="A10" t="s">
        <v>1799</v>
      </c>
      <c r="B10" t="s">
        <v>26</v>
      </c>
      <c r="C10" t="s">
        <v>1639</v>
      </c>
      <c r="D10" t="s">
        <v>1773</v>
      </c>
      <c r="E10" s="31">
        <v>1</v>
      </c>
      <c r="F10" s="31">
        <v>0</v>
      </c>
      <c r="G10" s="31">
        <v>0</v>
      </c>
      <c r="H10" s="31">
        <v>1</v>
      </c>
    </row>
    <row r="11" spans="1:8" x14ac:dyDescent="0.2">
      <c r="A11" t="s">
        <v>62</v>
      </c>
      <c r="B11" t="s">
        <v>51</v>
      </c>
      <c r="C11" t="s">
        <v>1</v>
      </c>
      <c r="D11" t="s">
        <v>1774</v>
      </c>
      <c r="E11" s="31">
        <v>0</v>
      </c>
      <c r="F11" s="31">
        <v>0</v>
      </c>
      <c r="G11" s="31">
        <v>1</v>
      </c>
      <c r="H11" s="31">
        <v>1</v>
      </c>
    </row>
    <row r="12" spans="1:8" x14ac:dyDescent="0.2">
      <c r="A12" t="s">
        <v>62</v>
      </c>
      <c r="B12" t="s">
        <v>51</v>
      </c>
      <c r="C12" t="s">
        <v>1639</v>
      </c>
      <c r="D12" t="s">
        <v>1773</v>
      </c>
      <c r="E12" s="31">
        <v>2</v>
      </c>
      <c r="F12" s="31">
        <v>0</v>
      </c>
      <c r="G12" s="31">
        <v>0</v>
      </c>
      <c r="H12" s="31">
        <v>2</v>
      </c>
    </row>
    <row r="13" spans="1:8" x14ac:dyDescent="0.2">
      <c r="A13" t="s">
        <v>64</v>
      </c>
      <c r="B13" t="s">
        <v>54</v>
      </c>
      <c r="C13" t="s">
        <v>1639</v>
      </c>
      <c r="D13" t="s">
        <v>1773</v>
      </c>
      <c r="E13" s="31">
        <v>2</v>
      </c>
      <c r="F13" s="31">
        <v>0</v>
      </c>
      <c r="G13" s="31">
        <v>0</v>
      </c>
      <c r="H13" s="31">
        <v>2</v>
      </c>
    </row>
    <row r="14" spans="1:8" x14ac:dyDescent="0.2">
      <c r="A14" t="s">
        <v>98</v>
      </c>
      <c r="B14" t="s">
        <v>1763</v>
      </c>
      <c r="C14" t="s">
        <v>1</v>
      </c>
      <c r="D14" t="s">
        <v>1774</v>
      </c>
      <c r="E14" s="31">
        <v>0</v>
      </c>
      <c r="F14" s="31">
        <v>0</v>
      </c>
      <c r="G14" s="31">
        <v>60</v>
      </c>
      <c r="H14" s="31">
        <v>60</v>
      </c>
    </row>
    <row r="15" spans="1:8" x14ac:dyDescent="0.2">
      <c r="A15" t="s">
        <v>1605</v>
      </c>
      <c r="B15" t="s">
        <v>100</v>
      </c>
      <c r="C15" t="s">
        <v>1</v>
      </c>
      <c r="D15" t="s">
        <v>1773</v>
      </c>
      <c r="E15" s="31">
        <v>1</v>
      </c>
      <c r="F15" s="31">
        <v>0</v>
      </c>
      <c r="G15" s="31">
        <v>0</v>
      </c>
      <c r="H15" s="31">
        <v>1</v>
      </c>
    </row>
    <row r="16" spans="1:8" x14ac:dyDescent="0.2">
      <c r="A16" t="s">
        <v>1606</v>
      </c>
      <c r="B16" t="s">
        <v>105</v>
      </c>
      <c r="C16" t="s">
        <v>1</v>
      </c>
      <c r="D16" t="s">
        <v>1773</v>
      </c>
      <c r="E16" s="31">
        <v>695</v>
      </c>
      <c r="F16" s="31">
        <v>0</v>
      </c>
      <c r="G16" s="31">
        <v>0</v>
      </c>
      <c r="H16" s="31">
        <v>695</v>
      </c>
    </row>
    <row r="17" spans="1:8" x14ac:dyDescent="0.2">
      <c r="A17" t="s">
        <v>1606</v>
      </c>
      <c r="B17" t="s">
        <v>105</v>
      </c>
      <c r="C17" t="s">
        <v>1639</v>
      </c>
      <c r="D17" t="s">
        <v>1773</v>
      </c>
      <c r="E17" s="31">
        <v>1133</v>
      </c>
      <c r="F17" s="31">
        <v>0</v>
      </c>
      <c r="G17" s="31">
        <v>0</v>
      </c>
      <c r="H17" s="31">
        <v>1133</v>
      </c>
    </row>
    <row r="18" spans="1:8" x14ac:dyDescent="0.2">
      <c r="A18" t="s">
        <v>1607</v>
      </c>
      <c r="B18" t="s">
        <v>107</v>
      </c>
      <c r="C18" t="s">
        <v>1</v>
      </c>
      <c r="D18" t="s">
        <v>1773</v>
      </c>
      <c r="E18" s="31">
        <v>48</v>
      </c>
      <c r="F18" s="31">
        <v>0</v>
      </c>
      <c r="G18" s="31">
        <v>0</v>
      </c>
      <c r="H18" s="31">
        <v>48</v>
      </c>
    </row>
    <row r="19" spans="1:8" x14ac:dyDescent="0.2">
      <c r="A19" t="s">
        <v>1607</v>
      </c>
      <c r="B19" t="s">
        <v>107</v>
      </c>
      <c r="C19" t="s">
        <v>1</v>
      </c>
      <c r="D19" t="s">
        <v>1774</v>
      </c>
      <c r="E19" s="31">
        <v>1818</v>
      </c>
      <c r="F19" s="31">
        <v>8</v>
      </c>
      <c r="G19" s="31">
        <v>0</v>
      </c>
      <c r="H19" s="31">
        <v>1826</v>
      </c>
    </row>
    <row r="20" spans="1:8" x14ac:dyDescent="0.2">
      <c r="A20" t="s">
        <v>1607</v>
      </c>
      <c r="B20" t="s">
        <v>107</v>
      </c>
      <c r="C20" t="s">
        <v>1639</v>
      </c>
      <c r="D20" t="s">
        <v>1773</v>
      </c>
      <c r="E20" s="31">
        <v>480</v>
      </c>
      <c r="F20" s="31">
        <v>0</v>
      </c>
      <c r="G20" s="31">
        <v>0</v>
      </c>
      <c r="H20" s="31">
        <v>480</v>
      </c>
    </row>
    <row r="21" spans="1:8" x14ac:dyDescent="0.2">
      <c r="A21" t="s">
        <v>1608</v>
      </c>
      <c r="B21" t="s">
        <v>1854</v>
      </c>
      <c r="C21" t="s">
        <v>1</v>
      </c>
      <c r="D21" t="s">
        <v>1773</v>
      </c>
      <c r="E21" s="31">
        <v>922</v>
      </c>
      <c r="F21" s="31">
        <v>0</v>
      </c>
      <c r="G21" s="31">
        <v>0</v>
      </c>
      <c r="H21" s="31">
        <v>922</v>
      </c>
    </row>
    <row r="22" spans="1:8" x14ac:dyDescent="0.2">
      <c r="A22" t="s">
        <v>1608</v>
      </c>
      <c r="B22" t="s">
        <v>1854</v>
      </c>
      <c r="C22" t="s">
        <v>1</v>
      </c>
      <c r="D22" t="s">
        <v>1774</v>
      </c>
      <c r="E22" s="31">
        <v>0</v>
      </c>
      <c r="F22" s="31">
        <v>47</v>
      </c>
      <c r="G22" s="31">
        <v>0</v>
      </c>
      <c r="H22" s="31">
        <v>47</v>
      </c>
    </row>
    <row r="23" spans="1:8" x14ac:dyDescent="0.2">
      <c r="A23" t="s">
        <v>1608</v>
      </c>
      <c r="B23" t="s">
        <v>1854</v>
      </c>
      <c r="C23" t="s">
        <v>1639</v>
      </c>
      <c r="D23" t="s">
        <v>1773</v>
      </c>
      <c r="E23" s="31">
        <v>1356</v>
      </c>
      <c r="F23" s="31">
        <v>0</v>
      </c>
      <c r="G23" s="31">
        <v>0</v>
      </c>
      <c r="H23" s="31">
        <v>1356</v>
      </c>
    </row>
    <row r="24" spans="1:8" x14ac:dyDescent="0.2">
      <c r="A24" t="s">
        <v>121</v>
      </c>
      <c r="B24" t="s">
        <v>122</v>
      </c>
      <c r="C24" t="s">
        <v>1</v>
      </c>
      <c r="E24" s="31">
        <v>0.108</v>
      </c>
      <c r="F24" s="31">
        <v>0</v>
      </c>
      <c r="G24" s="31">
        <v>1.2E-2</v>
      </c>
      <c r="H24" s="31">
        <v>0.12</v>
      </c>
    </row>
    <row r="25" spans="1:8" x14ac:dyDescent="0.2">
      <c r="A25" t="s">
        <v>134</v>
      </c>
      <c r="B25" t="s">
        <v>77</v>
      </c>
      <c r="C25" t="s">
        <v>1</v>
      </c>
      <c r="D25" t="s">
        <v>1774</v>
      </c>
      <c r="E25" s="31">
        <v>0</v>
      </c>
      <c r="F25" s="31">
        <v>0</v>
      </c>
      <c r="G25" s="31">
        <v>3</v>
      </c>
      <c r="H25" s="31">
        <v>3</v>
      </c>
    </row>
    <row r="26" spans="1:8" x14ac:dyDescent="0.2">
      <c r="A26" t="s">
        <v>1609</v>
      </c>
      <c r="B26" t="s">
        <v>143</v>
      </c>
      <c r="C26" t="s">
        <v>1639</v>
      </c>
      <c r="D26" t="s">
        <v>1773</v>
      </c>
      <c r="E26" s="31">
        <v>1777</v>
      </c>
      <c r="F26" s="31">
        <v>0</v>
      </c>
      <c r="G26" s="31">
        <v>0</v>
      </c>
      <c r="H26" s="31">
        <v>1777</v>
      </c>
    </row>
    <row r="27" spans="1:8" x14ac:dyDescent="0.2">
      <c r="A27" t="s">
        <v>187</v>
      </c>
      <c r="B27" t="s">
        <v>186</v>
      </c>
      <c r="C27" t="s">
        <v>1639</v>
      </c>
      <c r="D27" t="s">
        <v>1773</v>
      </c>
      <c r="E27" s="31">
        <v>1</v>
      </c>
      <c r="F27" s="31">
        <v>0</v>
      </c>
      <c r="G27" s="31">
        <v>0</v>
      </c>
      <c r="H27" s="31">
        <v>1</v>
      </c>
    </row>
    <row r="28" spans="1:8" x14ac:dyDescent="0.2">
      <c r="A28" t="s">
        <v>191</v>
      </c>
      <c r="B28" t="s">
        <v>190</v>
      </c>
      <c r="C28" t="s">
        <v>1639</v>
      </c>
      <c r="D28" t="s">
        <v>1773</v>
      </c>
      <c r="E28" s="31">
        <v>1</v>
      </c>
      <c r="F28" s="31">
        <v>0</v>
      </c>
      <c r="G28" s="31">
        <v>0</v>
      </c>
      <c r="H28" s="31">
        <v>1</v>
      </c>
    </row>
    <row r="29" spans="1:8" x14ac:dyDescent="0.2">
      <c r="A29" t="s">
        <v>195</v>
      </c>
      <c r="B29" t="s">
        <v>1915</v>
      </c>
      <c r="C29" t="s">
        <v>1</v>
      </c>
      <c r="D29" t="s">
        <v>1774</v>
      </c>
      <c r="E29" s="31">
        <v>20</v>
      </c>
      <c r="F29" s="31">
        <v>0</v>
      </c>
      <c r="G29" s="31">
        <v>0</v>
      </c>
      <c r="H29" s="31">
        <v>20</v>
      </c>
    </row>
    <row r="30" spans="1:8" x14ac:dyDescent="0.2">
      <c r="A30" t="s">
        <v>195</v>
      </c>
      <c r="B30" t="s">
        <v>1915</v>
      </c>
      <c r="C30" t="s">
        <v>1639</v>
      </c>
      <c r="D30" t="s">
        <v>1773</v>
      </c>
      <c r="E30" s="31">
        <v>16</v>
      </c>
      <c r="F30" s="31">
        <v>0</v>
      </c>
      <c r="G30" s="31">
        <v>0</v>
      </c>
      <c r="H30" s="31">
        <v>16</v>
      </c>
    </row>
    <row r="31" spans="1:8" x14ac:dyDescent="0.2">
      <c r="A31" t="s">
        <v>197</v>
      </c>
      <c r="B31" t="s">
        <v>7</v>
      </c>
      <c r="C31" t="s">
        <v>1</v>
      </c>
      <c r="E31" s="31">
        <v>0</v>
      </c>
      <c r="F31" s="31">
        <v>0</v>
      </c>
      <c r="G31" s="31">
        <v>2</v>
      </c>
      <c r="H31" s="31">
        <v>2</v>
      </c>
    </row>
    <row r="32" spans="1:8" x14ac:dyDescent="0.2">
      <c r="A32" t="s">
        <v>197</v>
      </c>
      <c r="B32" t="s">
        <v>7</v>
      </c>
      <c r="C32" t="s">
        <v>1</v>
      </c>
      <c r="D32" t="s">
        <v>1773</v>
      </c>
      <c r="E32" s="31">
        <v>1</v>
      </c>
      <c r="F32" s="31">
        <v>0</v>
      </c>
      <c r="G32" s="31">
        <v>0</v>
      </c>
      <c r="H32" s="31">
        <v>1</v>
      </c>
    </row>
    <row r="33" spans="1:8" x14ac:dyDescent="0.2">
      <c r="A33" t="s">
        <v>197</v>
      </c>
      <c r="B33" t="s">
        <v>7</v>
      </c>
      <c r="C33" t="s">
        <v>1639</v>
      </c>
      <c r="D33" t="s">
        <v>1773</v>
      </c>
      <c r="E33" s="31">
        <v>128</v>
      </c>
      <c r="F33" s="31">
        <v>0</v>
      </c>
      <c r="G33" s="31">
        <v>0</v>
      </c>
      <c r="H33" s="31">
        <v>128</v>
      </c>
    </row>
    <row r="34" spans="1:8" x14ac:dyDescent="0.2">
      <c r="A34" t="s">
        <v>207</v>
      </c>
      <c r="B34" t="s">
        <v>1919</v>
      </c>
      <c r="C34" t="s">
        <v>1</v>
      </c>
      <c r="D34" t="s">
        <v>1774</v>
      </c>
      <c r="E34" s="31">
        <v>614</v>
      </c>
      <c r="F34" s="31">
        <v>0</v>
      </c>
      <c r="G34" s="31">
        <v>0</v>
      </c>
      <c r="H34" s="31">
        <v>614</v>
      </c>
    </row>
    <row r="35" spans="1:8" x14ac:dyDescent="0.2">
      <c r="A35" t="s">
        <v>207</v>
      </c>
      <c r="B35" t="s">
        <v>1919</v>
      </c>
      <c r="C35" t="s">
        <v>1639</v>
      </c>
      <c r="D35" t="s">
        <v>1773</v>
      </c>
      <c r="E35" s="31">
        <v>50</v>
      </c>
      <c r="F35" s="31">
        <v>0</v>
      </c>
      <c r="G35" s="31">
        <v>0</v>
      </c>
      <c r="H35" s="31">
        <v>50</v>
      </c>
    </row>
    <row r="36" spans="1:8" x14ac:dyDescent="0.2">
      <c r="A36" t="s">
        <v>208</v>
      </c>
      <c r="B36" t="s">
        <v>1911</v>
      </c>
      <c r="C36" t="s">
        <v>1639</v>
      </c>
      <c r="D36" t="s">
        <v>1773</v>
      </c>
      <c r="E36" s="31">
        <v>370</v>
      </c>
      <c r="F36" s="31">
        <v>0</v>
      </c>
      <c r="G36" s="31">
        <v>0</v>
      </c>
      <c r="H36" s="31">
        <v>370</v>
      </c>
    </row>
    <row r="37" spans="1:8" x14ac:dyDescent="0.2">
      <c r="A37" t="s">
        <v>209</v>
      </c>
      <c r="B37" t="s">
        <v>1916</v>
      </c>
      <c r="C37" t="s">
        <v>1</v>
      </c>
      <c r="D37" t="s">
        <v>1774</v>
      </c>
      <c r="E37" s="31">
        <v>11</v>
      </c>
      <c r="F37" s="31">
        <v>0</v>
      </c>
      <c r="G37" s="31">
        <v>0</v>
      </c>
      <c r="H37" s="31">
        <v>11</v>
      </c>
    </row>
    <row r="38" spans="1:8" x14ac:dyDescent="0.2">
      <c r="A38" t="s">
        <v>209</v>
      </c>
      <c r="B38" t="s">
        <v>1916</v>
      </c>
      <c r="C38" t="s">
        <v>1639</v>
      </c>
      <c r="D38" t="s">
        <v>1773</v>
      </c>
      <c r="E38" s="31">
        <v>291</v>
      </c>
      <c r="F38" s="31">
        <v>0</v>
      </c>
      <c r="G38" s="31">
        <v>0</v>
      </c>
      <c r="H38" s="31">
        <v>291</v>
      </c>
    </row>
    <row r="39" spans="1:8" x14ac:dyDescent="0.2">
      <c r="A39" t="s">
        <v>215</v>
      </c>
      <c r="B39" t="s">
        <v>216</v>
      </c>
      <c r="C39" t="s">
        <v>1</v>
      </c>
      <c r="D39" t="s">
        <v>1773</v>
      </c>
      <c r="E39" s="31">
        <v>885</v>
      </c>
      <c r="F39" s="31">
        <v>0</v>
      </c>
      <c r="G39" s="31">
        <v>0</v>
      </c>
      <c r="H39" s="31">
        <v>885</v>
      </c>
    </row>
    <row r="40" spans="1:8" x14ac:dyDescent="0.2">
      <c r="A40" t="s">
        <v>215</v>
      </c>
      <c r="B40" t="s">
        <v>216</v>
      </c>
      <c r="C40" t="s">
        <v>1</v>
      </c>
      <c r="D40" t="s">
        <v>1774</v>
      </c>
      <c r="E40" s="31">
        <v>1</v>
      </c>
      <c r="F40" s="31">
        <v>1</v>
      </c>
      <c r="G40" s="31">
        <v>0</v>
      </c>
      <c r="H40" s="31">
        <v>2</v>
      </c>
    </row>
    <row r="41" spans="1:8" x14ac:dyDescent="0.2">
      <c r="A41" t="s">
        <v>215</v>
      </c>
      <c r="B41" t="s">
        <v>216</v>
      </c>
      <c r="C41" t="s">
        <v>1639</v>
      </c>
      <c r="D41" t="s">
        <v>1773</v>
      </c>
      <c r="E41" s="31">
        <v>1556</v>
      </c>
      <c r="F41" s="31">
        <v>0</v>
      </c>
      <c r="G41" s="31">
        <v>0</v>
      </c>
      <c r="H41" s="31">
        <v>1556</v>
      </c>
    </row>
    <row r="42" spans="1:8" x14ac:dyDescent="0.2">
      <c r="A42" t="s">
        <v>217</v>
      </c>
      <c r="B42" t="s">
        <v>218</v>
      </c>
      <c r="C42" t="s">
        <v>1</v>
      </c>
      <c r="D42" t="s">
        <v>1773</v>
      </c>
      <c r="E42" s="31">
        <v>2182</v>
      </c>
      <c r="F42" s="31">
        <v>0</v>
      </c>
      <c r="G42" s="31">
        <v>0</v>
      </c>
      <c r="H42" s="31">
        <v>2182</v>
      </c>
    </row>
    <row r="43" spans="1:8" x14ac:dyDescent="0.2">
      <c r="A43" t="s">
        <v>217</v>
      </c>
      <c r="B43" t="s">
        <v>218</v>
      </c>
      <c r="C43" t="s">
        <v>1</v>
      </c>
      <c r="D43" t="s">
        <v>1774</v>
      </c>
      <c r="E43" s="31">
        <v>2198</v>
      </c>
      <c r="F43" s="31">
        <v>0</v>
      </c>
      <c r="G43" s="31">
        <v>0</v>
      </c>
      <c r="H43" s="31">
        <v>2198</v>
      </c>
    </row>
    <row r="44" spans="1:8" x14ac:dyDescent="0.2">
      <c r="A44" t="s">
        <v>219</v>
      </c>
      <c r="B44" t="s">
        <v>220</v>
      </c>
      <c r="C44" t="s">
        <v>1639</v>
      </c>
      <c r="D44" t="s">
        <v>1773</v>
      </c>
      <c r="E44" s="31">
        <v>752</v>
      </c>
      <c r="F44" s="31">
        <v>0</v>
      </c>
      <c r="G44" s="31">
        <v>0</v>
      </c>
      <c r="H44" s="31">
        <v>752</v>
      </c>
    </row>
    <row r="45" spans="1:8" x14ac:dyDescent="0.2">
      <c r="A45" t="s">
        <v>230</v>
      </c>
      <c r="B45" t="s">
        <v>229</v>
      </c>
      <c r="C45" t="s">
        <v>1639</v>
      </c>
      <c r="D45" t="s">
        <v>1773</v>
      </c>
      <c r="E45" s="31">
        <v>31</v>
      </c>
      <c r="F45" s="31">
        <v>0</v>
      </c>
      <c r="G45" s="31">
        <v>0</v>
      </c>
      <c r="H45" s="31">
        <v>31</v>
      </c>
    </row>
    <row r="46" spans="1:8" x14ac:dyDescent="0.2">
      <c r="A46" t="s">
        <v>256</v>
      </c>
      <c r="B46" t="s">
        <v>254</v>
      </c>
      <c r="C46" t="s">
        <v>1</v>
      </c>
      <c r="D46" t="s">
        <v>1774</v>
      </c>
      <c r="E46" s="31">
        <v>1</v>
      </c>
      <c r="F46" s="31">
        <v>0</v>
      </c>
      <c r="G46" s="31">
        <v>0</v>
      </c>
      <c r="H46" s="31">
        <v>1</v>
      </c>
    </row>
    <row r="47" spans="1:8" x14ac:dyDescent="0.2">
      <c r="A47" t="s">
        <v>1832</v>
      </c>
      <c r="B47" t="s">
        <v>254</v>
      </c>
      <c r="C47" t="s">
        <v>1639</v>
      </c>
      <c r="D47" t="s">
        <v>1773</v>
      </c>
      <c r="E47" s="31">
        <v>297</v>
      </c>
      <c r="F47" s="31">
        <v>0</v>
      </c>
      <c r="G47" s="31">
        <v>0</v>
      </c>
      <c r="H47" s="31">
        <v>297</v>
      </c>
    </row>
    <row r="48" spans="1:8" x14ac:dyDescent="0.2">
      <c r="A48" t="s">
        <v>280</v>
      </c>
      <c r="B48" t="s">
        <v>51</v>
      </c>
      <c r="C48" t="s">
        <v>1</v>
      </c>
      <c r="D48" t="s">
        <v>1774</v>
      </c>
      <c r="E48" s="31">
        <v>11</v>
      </c>
      <c r="F48" s="31">
        <v>0</v>
      </c>
      <c r="G48" s="31">
        <v>0</v>
      </c>
      <c r="H48" s="31">
        <v>11</v>
      </c>
    </row>
    <row r="49" spans="1:8" x14ac:dyDescent="0.2">
      <c r="A49" t="s">
        <v>1917</v>
      </c>
      <c r="B49" t="s">
        <v>283</v>
      </c>
      <c r="C49" t="s">
        <v>1</v>
      </c>
      <c r="D49" t="s">
        <v>1773</v>
      </c>
      <c r="E49" s="31">
        <v>316</v>
      </c>
      <c r="F49" s="31">
        <v>0</v>
      </c>
      <c r="G49" s="31">
        <v>0</v>
      </c>
      <c r="H49" s="31">
        <v>316</v>
      </c>
    </row>
    <row r="50" spans="1:8" x14ac:dyDescent="0.2">
      <c r="A50" t="s">
        <v>1917</v>
      </c>
      <c r="B50" t="s">
        <v>283</v>
      </c>
      <c r="C50" t="s">
        <v>1</v>
      </c>
      <c r="D50" t="s">
        <v>1774</v>
      </c>
      <c r="E50" s="31">
        <v>90</v>
      </c>
      <c r="F50" s="31">
        <v>0</v>
      </c>
      <c r="G50" s="31">
        <v>0</v>
      </c>
      <c r="H50" s="31">
        <v>90</v>
      </c>
    </row>
    <row r="51" spans="1:8" x14ac:dyDescent="0.2">
      <c r="A51" t="s">
        <v>1724</v>
      </c>
      <c r="B51" t="s">
        <v>240</v>
      </c>
      <c r="C51" t="s">
        <v>1</v>
      </c>
      <c r="D51" t="s">
        <v>1773</v>
      </c>
      <c r="E51" s="31">
        <v>12</v>
      </c>
      <c r="F51" s="31">
        <v>0</v>
      </c>
      <c r="G51" s="31">
        <v>0</v>
      </c>
      <c r="H51" s="31">
        <v>12</v>
      </c>
    </row>
    <row r="52" spans="1:8" x14ac:dyDescent="0.2">
      <c r="A52" t="s">
        <v>1724</v>
      </c>
      <c r="B52" t="s">
        <v>240</v>
      </c>
      <c r="C52" t="s">
        <v>1639</v>
      </c>
      <c r="D52" t="s">
        <v>1773</v>
      </c>
      <c r="E52" s="31">
        <v>90</v>
      </c>
      <c r="F52" s="31">
        <v>0</v>
      </c>
      <c r="G52" s="31">
        <v>0</v>
      </c>
      <c r="H52" s="31">
        <v>90</v>
      </c>
    </row>
    <row r="53" spans="1:8" x14ac:dyDescent="0.2">
      <c r="A53" t="s">
        <v>1727</v>
      </c>
      <c r="B53" t="s">
        <v>1775</v>
      </c>
      <c r="C53" t="s">
        <v>1</v>
      </c>
      <c r="D53" t="s">
        <v>1773</v>
      </c>
      <c r="E53" s="31">
        <v>6</v>
      </c>
      <c r="F53" s="31">
        <v>0</v>
      </c>
      <c r="G53" s="31">
        <v>0</v>
      </c>
      <c r="H53" s="31">
        <v>6</v>
      </c>
    </row>
    <row r="54" spans="1:8" x14ac:dyDescent="0.2">
      <c r="A54" t="s">
        <v>1727</v>
      </c>
      <c r="B54" t="s">
        <v>1775</v>
      </c>
      <c r="C54" t="s">
        <v>1639</v>
      </c>
      <c r="D54" t="s">
        <v>1773</v>
      </c>
      <c r="E54" s="31">
        <v>44</v>
      </c>
      <c r="F54" s="31">
        <v>0</v>
      </c>
      <c r="G54" s="31">
        <v>0</v>
      </c>
      <c r="H54" s="31">
        <v>44</v>
      </c>
    </row>
    <row r="55" spans="1:8" x14ac:dyDescent="0.2">
      <c r="A55" t="s">
        <v>1898</v>
      </c>
      <c r="B55" t="s">
        <v>287</v>
      </c>
      <c r="C55" t="s">
        <v>1</v>
      </c>
      <c r="D55" t="s">
        <v>1773</v>
      </c>
      <c r="E55" s="31">
        <v>377</v>
      </c>
      <c r="F55" s="31">
        <v>0</v>
      </c>
      <c r="G55" s="31">
        <v>0</v>
      </c>
      <c r="H55" s="31">
        <v>377</v>
      </c>
    </row>
    <row r="56" spans="1:8" x14ac:dyDescent="0.2">
      <c r="A56" t="s">
        <v>1834</v>
      </c>
      <c r="B56" t="s">
        <v>241</v>
      </c>
      <c r="C56" t="s">
        <v>1</v>
      </c>
      <c r="D56" t="s">
        <v>1773</v>
      </c>
      <c r="E56" s="31">
        <v>105</v>
      </c>
      <c r="F56" s="31">
        <v>0</v>
      </c>
      <c r="G56" s="31">
        <v>0</v>
      </c>
      <c r="H56" s="31">
        <v>105</v>
      </c>
    </row>
    <row r="57" spans="1:8" x14ac:dyDescent="0.2">
      <c r="A57" t="s">
        <v>1834</v>
      </c>
      <c r="B57" t="s">
        <v>241</v>
      </c>
      <c r="C57" t="s">
        <v>1639</v>
      </c>
      <c r="D57" t="s">
        <v>1773</v>
      </c>
      <c r="E57" s="31">
        <v>20</v>
      </c>
      <c r="F57" s="31">
        <v>0</v>
      </c>
      <c r="G57" s="31">
        <v>0</v>
      </c>
      <c r="H57" s="31">
        <v>20</v>
      </c>
    </row>
    <row r="58" spans="1:8" x14ac:dyDescent="0.2">
      <c r="A58" t="s">
        <v>1744</v>
      </c>
      <c r="B58" t="s">
        <v>229</v>
      </c>
      <c r="C58" t="s">
        <v>1</v>
      </c>
      <c r="D58" t="s">
        <v>1774</v>
      </c>
      <c r="E58" s="31">
        <v>5</v>
      </c>
      <c r="F58" s="31">
        <v>0</v>
      </c>
      <c r="G58" s="31">
        <v>0</v>
      </c>
      <c r="H58" s="31">
        <v>5</v>
      </c>
    </row>
    <row r="59" spans="1:8" x14ac:dyDescent="0.2">
      <c r="A59" t="s">
        <v>1776</v>
      </c>
      <c r="B59" t="s">
        <v>229</v>
      </c>
      <c r="C59" t="s">
        <v>1</v>
      </c>
      <c r="D59" t="s">
        <v>1774</v>
      </c>
      <c r="E59" s="31">
        <v>0</v>
      </c>
      <c r="F59" s="31">
        <v>3</v>
      </c>
      <c r="G59" s="31">
        <v>0</v>
      </c>
      <c r="H59" s="31">
        <v>3</v>
      </c>
    </row>
    <row r="60" spans="1:8" x14ac:dyDescent="0.2">
      <c r="A60" t="s">
        <v>1776</v>
      </c>
      <c r="B60" t="s">
        <v>229</v>
      </c>
      <c r="C60" t="s">
        <v>1639</v>
      </c>
      <c r="E60" s="31">
        <v>0.12</v>
      </c>
      <c r="F60" s="31">
        <v>0</v>
      </c>
      <c r="G60" s="31">
        <v>0</v>
      </c>
      <c r="H60" s="31">
        <v>0.12</v>
      </c>
    </row>
    <row r="61" spans="1:8" x14ac:dyDescent="0.2">
      <c r="A61" t="s">
        <v>1809</v>
      </c>
      <c r="B61" t="s">
        <v>229</v>
      </c>
      <c r="C61" t="s">
        <v>1</v>
      </c>
      <c r="E61" s="31">
        <v>0</v>
      </c>
      <c r="F61" s="31">
        <v>68.804000000000002</v>
      </c>
      <c r="G61" s="31">
        <v>0.23</v>
      </c>
      <c r="H61" s="31">
        <v>69.034000000000006</v>
      </c>
    </row>
    <row r="62" spans="1:8" x14ac:dyDescent="0.2">
      <c r="A62" t="s">
        <v>1809</v>
      </c>
      <c r="B62" t="s">
        <v>229</v>
      </c>
      <c r="C62" t="s">
        <v>1</v>
      </c>
      <c r="D62" t="s">
        <v>1774</v>
      </c>
      <c r="E62" s="31">
        <v>1533.7</v>
      </c>
      <c r="F62" s="31">
        <v>63</v>
      </c>
      <c r="G62" s="31">
        <v>0</v>
      </c>
      <c r="H62" s="31">
        <v>1596.7</v>
      </c>
    </row>
    <row r="63" spans="1:8" x14ac:dyDescent="0.2">
      <c r="A63" t="s">
        <v>1809</v>
      </c>
      <c r="B63" t="s">
        <v>229</v>
      </c>
      <c r="C63" t="s">
        <v>1639</v>
      </c>
      <c r="E63" s="31">
        <v>30</v>
      </c>
      <c r="F63" s="31">
        <v>0</v>
      </c>
      <c r="G63" s="31">
        <v>0</v>
      </c>
      <c r="H63" s="31">
        <v>30</v>
      </c>
    </row>
    <row r="64" spans="1:8" x14ac:dyDescent="0.2">
      <c r="A64" t="s">
        <v>333</v>
      </c>
      <c r="B64" t="s">
        <v>332</v>
      </c>
      <c r="C64" t="s">
        <v>1</v>
      </c>
      <c r="D64" t="s">
        <v>1773</v>
      </c>
      <c r="E64" s="31">
        <v>2</v>
      </c>
      <c r="F64" s="31">
        <v>0</v>
      </c>
      <c r="G64" s="31">
        <v>0</v>
      </c>
      <c r="H64" s="31">
        <v>2</v>
      </c>
    </row>
    <row r="65" spans="1:8" x14ac:dyDescent="0.2">
      <c r="A65" t="s">
        <v>338</v>
      </c>
      <c r="B65" t="s">
        <v>229</v>
      </c>
      <c r="C65" t="s">
        <v>1</v>
      </c>
      <c r="D65" t="s">
        <v>1773</v>
      </c>
      <c r="E65" s="31">
        <v>32</v>
      </c>
      <c r="F65" s="31">
        <v>0</v>
      </c>
      <c r="G65" s="31">
        <v>0</v>
      </c>
      <c r="H65" s="31">
        <v>32</v>
      </c>
    </row>
    <row r="66" spans="1:8" x14ac:dyDescent="0.2">
      <c r="A66" t="s">
        <v>338</v>
      </c>
      <c r="B66" t="s">
        <v>229</v>
      </c>
      <c r="C66" t="s">
        <v>1639</v>
      </c>
      <c r="D66" t="s">
        <v>1773</v>
      </c>
      <c r="E66" s="31">
        <v>952</v>
      </c>
      <c r="F66" s="31">
        <v>0</v>
      </c>
      <c r="G66" s="31">
        <v>0</v>
      </c>
      <c r="H66" s="31">
        <v>952</v>
      </c>
    </row>
    <row r="67" spans="1:8" x14ac:dyDescent="0.2">
      <c r="A67" t="s">
        <v>1887</v>
      </c>
      <c r="B67" t="s">
        <v>229</v>
      </c>
      <c r="C67" t="s">
        <v>1</v>
      </c>
      <c r="D67" t="s">
        <v>1773</v>
      </c>
      <c r="E67" s="31">
        <v>241</v>
      </c>
      <c r="F67" s="31">
        <v>0</v>
      </c>
      <c r="G67" s="31">
        <v>0</v>
      </c>
      <c r="H67" s="31">
        <v>241</v>
      </c>
    </row>
    <row r="68" spans="1:8" x14ac:dyDescent="0.2">
      <c r="A68" t="s">
        <v>1887</v>
      </c>
      <c r="B68" t="s">
        <v>229</v>
      </c>
      <c r="C68" t="s">
        <v>1639</v>
      </c>
      <c r="D68" t="s">
        <v>1773</v>
      </c>
      <c r="E68" s="31">
        <v>1562</v>
      </c>
      <c r="F68" s="31">
        <v>0</v>
      </c>
      <c r="G68" s="31">
        <v>0</v>
      </c>
      <c r="H68" s="31">
        <v>1562</v>
      </c>
    </row>
    <row r="69" spans="1:8" x14ac:dyDescent="0.2">
      <c r="A69" t="s">
        <v>339</v>
      </c>
      <c r="B69" t="s">
        <v>324</v>
      </c>
      <c r="C69" t="s">
        <v>1</v>
      </c>
      <c r="D69" t="s">
        <v>1773</v>
      </c>
      <c r="E69" s="31">
        <v>331</v>
      </c>
      <c r="F69" s="31">
        <v>0</v>
      </c>
      <c r="G69" s="31">
        <v>0</v>
      </c>
      <c r="H69" s="31">
        <v>331</v>
      </c>
    </row>
    <row r="70" spans="1:8" x14ac:dyDescent="0.2">
      <c r="A70" t="s">
        <v>339</v>
      </c>
      <c r="B70" t="s">
        <v>324</v>
      </c>
      <c r="C70" t="s">
        <v>1</v>
      </c>
      <c r="D70" t="s">
        <v>1774</v>
      </c>
      <c r="E70" s="31">
        <v>0</v>
      </c>
      <c r="F70" s="31">
        <v>0</v>
      </c>
      <c r="G70" s="31">
        <v>1</v>
      </c>
      <c r="H70" s="31">
        <v>1</v>
      </c>
    </row>
    <row r="71" spans="1:8" x14ac:dyDescent="0.2">
      <c r="A71" t="s">
        <v>339</v>
      </c>
      <c r="B71" t="s">
        <v>324</v>
      </c>
      <c r="C71" t="s">
        <v>1639</v>
      </c>
      <c r="D71" t="s">
        <v>1773</v>
      </c>
      <c r="E71" s="31">
        <v>5</v>
      </c>
      <c r="F71" s="31">
        <v>0</v>
      </c>
      <c r="G71" s="31">
        <v>0</v>
      </c>
      <c r="H71" s="31">
        <v>5</v>
      </c>
    </row>
    <row r="72" spans="1:8" x14ac:dyDescent="0.2">
      <c r="A72" t="s">
        <v>1862</v>
      </c>
      <c r="B72" t="s">
        <v>324</v>
      </c>
      <c r="C72" t="s">
        <v>1</v>
      </c>
      <c r="D72" t="s">
        <v>1773</v>
      </c>
      <c r="E72" s="31">
        <v>92</v>
      </c>
      <c r="F72" s="31">
        <v>0</v>
      </c>
      <c r="G72" s="31">
        <v>0</v>
      </c>
      <c r="H72" s="31">
        <v>92</v>
      </c>
    </row>
    <row r="73" spans="1:8" x14ac:dyDescent="0.2">
      <c r="A73" t="s">
        <v>1849</v>
      </c>
      <c r="B73" t="s">
        <v>229</v>
      </c>
      <c r="C73" t="s">
        <v>1</v>
      </c>
      <c r="D73" t="s">
        <v>1773</v>
      </c>
      <c r="E73" s="31">
        <v>50</v>
      </c>
      <c r="F73" s="31">
        <v>0</v>
      </c>
      <c r="G73" s="31">
        <v>0</v>
      </c>
      <c r="H73" s="31">
        <v>50</v>
      </c>
    </row>
    <row r="74" spans="1:8" x14ac:dyDescent="0.2">
      <c r="A74" t="s">
        <v>341</v>
      </c>
      <c r="B74" t="s">
        <v>324</v>
      </c>
      <c r="C74" t="s">
        <v>1</v>
      </c>
      <c r="D74" t="s">
        <v>1774</v>
      </c>
      <c r="E74" s="31">
        <v>0</v>
      </c>
      <c r="F74" s="31">
        <v>0</v>
      </c>
      <c r="G74" s="31">
        <v>1</v>
      </c>
      <c r="H74" s="31">
        <v>1</v>
      </c>
    </row>
    <row r="75" spans="1:8" x14ac:dyDescent="0.2">
      <c r="A75" t="s">
        <v>1611</v>
      </c>
      <c r="B75" t="s">
        <v>346</v>
      </c>
      <c r="C75" t="s">
        <v>1</v>
      </c>
      <c r="D75" t="s">
        <v>1773</v>
      </c>
      <c r="E75" s="31">
        <v>42</v>
      </c>
      <c r="F75" s="31">
        <v>0</v>
      </c>
      <c r="G75" s="31">
        <v>0</v>
      </c>
      <c r="H75" s="31">
        <v>42</v>
      </c>
    </row>
    <row r="76" spans="1:8" x14ac:dyDescent="0.2">
      <c r="A76" t="s">
        <v>1611</v>
      </c>
      <c r="B76" t="s">
        <v>346</v>
      </c>
      <c r="C76" t="s">
        <v>1639</v>
      </c>
      <c r="D76" t="s">
        <v>1773</v>
      </c>
      <c r="E76" s="31">
        <v>1569</v>
      </c>
      <c r="F76" s="31">
        <v>0</v>
      </c>
      <c r="G76" s="31">
        <v>0</v>
      </c>
      <c r="H76" s="31">
        <v>1569</v>
      </c>
    </row>
    <row r="77" spans="1:8" x14ac:dyDescent="0.2">
      <c r="A77" t="s">
        <v>1612</v>
      </c>
      <c r="B77" t="s">
        <v>1852</v>
      </c>
      <c r="C77" t="s">
        <v>1</v>
      </c>
      <c r="D77" t="s">
        <v>1773</v>
      </c>
      <c r="E77" s="31">
        <v>412</v>
      </c>
      <c r="F77" s="31">
        <v>0</v>
      </c>
      <c r="G77" s="31">
        <v>0</v>
      </c>
      <c r="H77" s="31">
        <v>412</v>
      </c>
    </row>
    <row r="78" spans="1:8" x14ac:dyDescent="0.2">
      <c r="A78" t="s">
        <v>1612</v>
      </c>
      <c r="B78" t="s">
        <v>1852</v>
      </c>
      <c r="C78" t="s">
        <v>1639</v>
      </c>
      <c r="D78" t="s">
        <v>1773</v>
      </c>
      <c r="E78" s="31">
        <v>834</v>
      </c>
      <c r="F78" s="31">
        <v>0</v>
      </c>
      <c r="G78" s="31">
        <v>0</v>
      </c>
      <c r="H78" s="31">
        <v>834</v>
      </c>
    </row>
    <row r="79" spans="1:8" x14ac:dyDescent="0.2">
      <c r="A79" t="s">
        <v>350</v>
      </c>
      <c r="B79" t="s">
        <v>229</v>
      </c>
      <c r="C79" t="s">
        <v>1639</v>
      </c>
      <c r="D79" t="s">
        <v>1773</v>
      </c>
      <c r="E79" s="31">
        <v>0</v>
      </c>
      <c r="F79" s="31">
        <v>0.08</v>
      </c>
      <c r="G79" s="31">
        <v>0</v>
      </c>
      <c r="H79" s="31">
        <v>0.08</v>
      </c>
    </row>
    <row r="80" spans="1:8" x14ac:dyDescent="0.2">
      <c r="A80" t="s">
        <v>354</v>
      </c>
      <c r="B80" t="s">
        <v>283</v>
      </c>
      <c r="C80" t="s">
        <v>1</v>
      </c>
      <c r="D80" t="s">
        <v>1773</v>
      </c>
      <c r="E80" s="31">
        <v>62</v>
      </c>
      <c r="F80" s="31">
        <v>0</v>
      </c>
      <c r="G80" s="31">
        <v>0</v>
      </c>
      <c r="H80" s="31">
        <v>62</v>
      </c>
    </row>
    <row r="81" spans="1:8" x14ac:dyDescent="0.2">
      <c r="A81" t="s">
        <v>354</v>
      </c>
      <c r="B81" t="s">
        <v>283</v>
      </c>
      <c r="C81" t="s">
        <v>1639</v>
      </c>
      <c r="D81" t="s">
        <v>1773</v>
      </c>
      <c r="E81" s="31">
        <v>559</v>
      </c>
      <c r="F81" s="31">
        <v>0</v>
      </c>
      <c r="G81" s="31">
        <v>0</v>
      </c>
      <c r="H81" s="31">
        <v>559</v>
      </c>
    </row>
    <row r="82" spans="1:8" x14ac:dyDescent="0.2">
      <c r="A82" t="s">
        <v>357</v>
      </c>
      <c r="B82" t="s">
        <v>356</v>
      </c>
      <c r="C82" t="s">
        <v>1</v>
      </c>
      <c r="D82" t="s">
        <v>1774</v>
      </c>
      <c r="E82" s="31">
        <v>0</v>
      </c>
      <c r="F82" s="31">
        <v>0</v>
      </c>
      <c r="G82" s="31">
        <v>1</v>
      </c>
      <c r="H82" s="31">
        <v>1</v>
      </c>
    </row>
    <row r="83" spans="1:8" x14ac:dyDescent="0.2">
      <c r="A83" t="s">
        <v>357</v>
      </c>
      <c r="B83" t="s">
        <v>356</v>
      </c>
      <c r="C83" t="s">
        <v>1639</v>
      </c>
      <c r="D83" t="s">
        <v>1773</v>
      </c>
      <c r="E83" s="31">
        <v>803</v>
      </c>
      <c r="F83" s="31">
        <v>0</v>
      </c>
      <c r="G83" s="31">
        <v>0</v>
      </c>
      <c r="H83" s="31">
        <v>803</v>
      </c>
    </row>
    <row r="84" spans="1:8" x14ac:dyDescent="0.2">
      <c r="A84" t="s">
        <v>375</v>
      </c>
      <c r="B84" t="s">
        <v>324</v>
      </c>
      <c r="C84" t="s">
        <v>1</v>
      </c>
      <c r="D84" t="s">
        <v>1773</v>
      </c>
      <c r="E84" s="31">
        <v>151</v>
      </c>
      <c r="F84" s="31">
        <v>0</v>
      </c>
      <c r="G84" s="31">
        <v>0</v>
      </c>
      <c r="H84" s="31">
        <v>151</v>
      </c>
    </row>
    <row r="85" spans="1:8" x14ac:dyDescent="0.2">
      <c r="A85" t="s">
        <v>375</v>
      </c>
      <c r="B85" t="s">
        <v>324</v>
      </c>
      <c r="C85" t="s">
        <v>1639</v>
      </c>
      <c r="D85" t="s">
        <v>1773</v>
      </c>
      <c r="E85" s="31">
        <v>20</v>
      </c>
      <c r="F85" s="31">
        <v>0</v>
      </c>
      <c r="G85" s="31">
        <v>0</v>
      </c>
      <c r="H85" s="31">
        <v>20</v>
      </c>
    </row>
    <row r="86" spans="1:8" x14ac:dyDescent="0.2">
      <c r="A86" t="s">
        <v>380</v>
      </c>
      <c r="B86" t="s">
        <v>381</v>
      </c>
      <c r="C86" t="s">
        <v>1</v>
      </c>
      <c r="D86" t="s">
        <v>1774</v>
      </c>
      <c r="E86" s="31">
        <v>0</v>
      </c>
      <c r="F86" s="31">
        <v>0</v>
      </c>
      <c r="G86" s="31">
        <v>3</v>
      </c>
      <c r="H86" s="31">
        <v>3</v>
      </c>
    </row>
    <row r="87" spans="1:8" x14ac:dyDescent="0.2">
      <c r="A87" t="s">
        <v>380</v>
      </c>
      <c r="B87" t="s">
        <v>381</v>
      </c>
      <c r="C87" t="s">
        <v>1639</v>
      </c>
      <c r="D87" t="s">
        <v>1773</v>
      </c>
      <c r="E87" s="31">
        <v>367</v>
      </c>
      <c r="F87" s="31">
        <v>0</v>
      </c>
      <c r="G87" s="31">
        <v>0</v>
      </c>
      <c r="H87" s="31">
        <v>367</v>
      </c>
    </row>
    <row r="88" spans="1:8" x14ac:dyDescent="0.2">
      <c r="A88" t="s">
        <v>1712</v>
      </c>
      <c r="B88" t="s">
        <v>240</v>
      </c>
      <c r="C88" t="s">
        <v>1</v>
      </c>
      <c r="D88" t="s">
        <v>1773</v>
      </c>
      <c r="E88" s="31">
        <v>78</v>
      </c>
      <c r="F88" s="31">
        <v>0</v>
      </c>
      <c r="G88" s="31">
        <v>0</v>
      </c>
      <c r="H88" s="31">
        <v>78</v>
      </c>
    </row>
    <row r="89" spans="1:8" x14ac:dyDescent="0.2">
      <c r="A89" t="s">
        <v>395</v>
      </c>
      <c r="B89" t="s">
        <v>394</v>
      </c>
      <c r="C89" t="s">
        <v>1</v>
      </c>
      <c r="D89" t="s">
        <v>1774</v>
      </c>
      <c r="E89" s="31">
        <v>0</v>
      </c>
      <c r="F89" s="31">
        <v>0</v>
      </c>
      <c r="G89" s="31">
        <v>1</v>
      </c>
      <c r="H89" s="31">
        <v>1</v>
      </c>
    </row>
    <row r="90" spans="1:8" x14ac:dyDescent="0.2">
      <c r="A90" t="s">
        <v>399</v>
      </c>
      <c r="B90" t="s">
        <v>397</v>
      </c>
      <c r="C90" t="s">
        <v>1</v>
      </c>
      <c r="D90" t="s">
        <v>1774</v>
      </c>
      <c r="E90" s="31">
        <v>0</v>
      </c>
      <c r="F90" s="31">
        <v>0</v>
      </c>
      <c r="G90" s="31">
        <v>1</v>
      </c>
      <c r="H90" s="31">
        <v>1</v>
      </c>
    </row>
    <row r="91" spans="1:8" x14ac:dyDescent="0.2">
      <c r="A91" t="s">
        <v>1863</v>
      </c>
      <c r="B91" t="s">
        <v>240</v>
      </c>
      <c r="C91" t="s">
        <v>1</v>
      </c>
      <c r="D91" t="s">
        <v>1773</v>
      </c>
      <c r="E91" s="31">
        <v>103</v>
      </c>
      <c r="F91" s="31">
        <v>0</v>
      </c>
      <c r="G91" s="31">
        <v>0</v>
      </c>
      <c r="H91" s="31">
        <v>103</v>
      </c>
    </row>
    <row r="92" spans="1:8" x14ac:dyDescent="0.2">
      <c r="A92" t="s">
        <v>403</v>
      </c>
      <c r="B92" t="s">
        <v>402</v>
      </c>
      <c r="C92" t="s">
        <v>1639</v>
      </c>
      <c r="D92" t="s">
        <v>1773</v>
      </c>
      <c r="E92" s="31">
        <v>104</v>
      </c>
      <c r="F92" s="31">
        <v>0</v>
      </c>
      <c r="G92" s="31">
        <v>0</v>
      </c>
      <c r="H92" s="31">
        <v>104</v>
      </c>
    </row>
    <row r="93" spans="1:8" x14ac:dyDescent="0.2">
      <c r="A93" t="s">
        <v>1897</v>
      </c>
      <c r="B93" t="s">
        <v>356</v>
      </c>
      <c r="C93" t="s">
        <v>1</v>
      </c>
      <c r="D93" t="s">
        <v>1773</v>
      </c>
      <c r="E93" s="31">
        <v>400</v>
      </c>
      <c r="F93" s="31">
        <v>0</v>
      </c>
      <c r="G93" s="31">
        <v>0</v>
      </c>
      <c r="H93" s="31">
        <v>400</v>
      </c>
    </row>
    <row r="94" spans="1:8" x14ac:dyDescent="0.2">
      <c r="A94" t="s">
        <v>412</v>
      </c>
      <c r="B94" t="s">
        <v>411</v>
      </c>
      <c r="C94" t="s">
        <v>1639</v>
      </c>
      <c r="D94" t="s">
        <v>1773</v>
      </c>
      <c r="E94" s="31">
        <v>339</v>
      </c>
      <c r="F94" s="31">
        <v>0</v>
      </c>
      <c r="G94" s="31">
        <v>0</v>
      </c>
      <c r="H94" s="31">
        <v>339</v>
      </c>
    </row>
    <row r="95" spans="1:8" x14ac:dyDescent="0.2">
      <c r="A95" t="s">
        <v>1784</v>
      </c>
      <c r="B95" t="s">
        <v>66</v>
      </c>
      <c r="C95" t="s">
        <v>1</v>
      </c>
      <c r="D95" t="s">
        <v>1773</v>
      </c>
      <c r="E95" s="31">
        <v>1080</v>
      </c>
      <c r="F95" s="31">
        <v>0</v>
      </c>
      <c r="G95" s="31">
        <v>0</v>
      </c>
      <c r="H95" s="31">
        <v>1080</v>
      </c>
    </row>
    <row r="96" spans="1:8" x14ac:dyDescent="0.2">
      <c r="A96" t="s">
        <v>1784</v>
      </c>
      <c r="B96" t="s">
        <v>66</v>
      </c>
      <c r="C96" t="s">
        <v>1</v>
      </c>
      <c r="D96" t="s">
        <v>1774</v>
      </c>
      <c r="E96" s="31">
        <v>1</v>
      </c>
      <c r="F96" s="31">
        <v>0</v>
      </c>
      <c r="G96" s="31">
        <v>0</v>
      </c>
      <c r="H96" s="31">
        <v>1</v>
      </c>
    </row>
    <row r="97" spans="1:8" x14ac:dyDescent="0.2">
      <c r="A97" t="s">
        <v>1784</v>
      </c>
      <c r="B97" t="s">
        <v>66</v>
      </c>
      <c r="C97" t="s">
        <v>1639</v>
      </c>
      <c r="D97" t="s">
        <v>1773</v>
      </c>
      <c r="E97" s="31">
        <v>7</v>
      </c>
      <c r="F97" s="31">
        <v>0</v>
      </c>
      <c r="G97" s="31">
        <v>0</v>
      </c>
      <c r="H97" s="31">
        <v>7</v>
      </c>
    </row>
    <row r="98" spans="1:8" x14ac:dyDescent="0.2">
      <c r="A98" t="s">
        <v>1855</v>
      </c>
      <c r="B98" t="s">
        <v>420</v>
      </c>
      <c r="C98" t="s">
        <v>1</v>
      </c>
      <c r="D98" t="s">
        <v>1773</v>
      </c>
      <c r="E98" s="31">
        <v>1</v>
      </c>
      <c r="F98" s="31">
        <v>0</v>
      </c>
      <c r="G98" s="31">
        <v>0</v>
      </c>
      <c r="H98" s="31">
        <v>1</v>
      </c>
    </row>
    <row r="99" spans="1:8" x14ac:dyDescent="0.2">
      <c r="A99" t="s">
        <v>1855</v>
      </c>
      <c r="B99" t="s">
        <v>420</v>
      </c>
      <c r="C99" t="s">
        <v>1639</v>
      </c>
      <c r="D99" t="s">
        <v>1773</v>
      </c>
      <c r="E99" s="31">
        <v>300</v>
      </c>
      <c r="F99" s="31">
        <v>0</v>
      </c>
      <c r="G99" s="31">
        <v>0</v>
      </c>
      <c r="H99" s="31">
        <v>300</v>
      </c>
    </row>
    <row r="100" spans="1:8" x14ac:dyDescent="0.2">
      <c r="A100" t="s">
        <v>423</v>
      </c>
      <c r="B100" t="s">
        <v>422</v>
      </c>
      <c r="C100" t="s">
        <v>1</v>
      </c>
      <c r="D100" t="s">
        <v>1773</v>
      </c>
      <c r="E100" s="31">
        <v>5</v>
      </c>
      <c r="F100" s="31">
        <v>0</v>
      </c>
      <c r="G100" s="31">
        <v>0</v>
      </c>
      <c r="H100" s="31">
        <v>5</v>
      </c>
    </row>
    <row r="101" spans="1:8" x14ac:dyDescent="0.2">
      <c r="A101" t="s">
        <v>423</v>
      </c>
      <c r="B101" t="s">
        <v>422</v>
      </c>
      <c r="C101" t="s">
        <v>1639</v>
      </c>
      <c r="D101" t="s">
        <v>1773</v>
      </c>
      <c r="E101" s="31">
        <v>144</v>
      </c>
      <c r="F101" s="31">
        <v>0</v>
      </c>
      <c r="G101" s="31">
        <v>0</v>
      </c>
      <c r="H101" s="31">
        <v>144</v>
      </c>
    </row>
    <row r="102" spans="1:8" x14ac:dyDescent="0.2">
      <c r="A102" t="s">
        <v>1903</v>
      </c>
      <c r="B102" t="s">
        <v>422</v>
      </c>
      <c r="C102" t="s">
        <v>1</v>
      </c>
      <c r="D102" t="s">
        <v>1773</v>
      </c>
      <c r="E102" s="31">
        <v>52</v>
      </c>
      <c r="F102" s="31">
        <v>0</v>
      </c>
      <c r="G102" s="31">
        <v>0</v>
      </c>
      <c r="H102" s="31">
        <v>52</v>
      </c>
    </row>
    <row r="103" spans="1:8" x14ac:dyDescent="0.2">
      <c r="A103" t="s">
        <v>424</v>
      </c>
      <c r="B103" t="s">
        <v>425</v>
      </c>
      <c r="C103" t="s">
        <v>1</v>
      </c>
      <c r="D103" t="s">
        <v>1774</v>
      </c>
      <c r="E103" s="31">
        <v>0</v>
      </c>
      <c r="F103" s="31">
        <v>0</v>
      </c>
      <c r="G103" s="31">
        <v>1</v>
      </c>
      <c r="H103" s="31">
        <v>1</v>
      </c>
    </row>
    <row r="104" spans="1:8" x14ac:dyDescent="0.2">
      <c r="A104" t="s">
        <v>424</v>
      </c>
      <c r="B104" t="s">
        <v>425</v>
      </c>
      <c r="C104" t="s">
        <v>1639</v>
      </c>
      <c r="D104" t="s">
        <v>1773</v>
      </c>
      <c r="E104" s="31">
        <v>126</v>
      </c>
      <c r="F104" s="31">
        <v>0</v>
      </c>
      <c r="G104" s="31">
        <v>0</v>
      </c>
      <c r="H104" s="31">
        <v>126</v>
      </c>
    </row>
    <row r="105" spans="1:8" x14ac:dyDescent="0.2">
      <c r="A105" t="s">
        <v>1725</v>
      </c>
      <c r="B105" t="s">
        <v>232</v>
      </c>
      <c r="C105" t="s">
        <v>1</v>
      </c>
      <c r="D105" t="s">
        <v>1773</v>
      </c>
      <c r="E105" s="31">
        <v>5</v>
      </c>
      <c r="F105" s="31">
        <v>0</v>
      </c>
      <c r="G105" s="31">
        <v>0</v>
      </c>
      <c r="H105" s="31">
        <v>5</v>
      </c>
    </row>
    <row r="106" spans="1:8" x14ac:dyDescent="0.2">
      <c r="A106" t="s">
        <v>1725</v>
      </c>
      <c r="B106" t="s">
        <v>232</v>
      </c>
      <c r="C106" t="s">
        <v>1639</v>
      </c>
      <c r="D106" t="s">
        <v>1773</v>
      </c>
      <c r="E106" s="31">
        <v>91</v>
      </c>
      <c r="F106" s="31">
        <v>0</v>
      </c>
      <c r="G106" s="31">
        <v>0</v>
      </c>
      <c r="H106" s="31">
        <v>91</v>
      </c>
    </row>
    <row r="107" spans="1:8" x14ac:dyDescent="0.2">
      <c r="A107" t="s">
        <v>429</v>
      </c>
      <c r="B107" t="s">
        <v>427</v>
      </c>
      <c r="C107" t="s">
        <v>1</v>
      </c>
      <c r="D107" t="s">
        <v>1774</v>
      </c>
      <c r="E107" s="31">
        <v>0</v>
      </c>
      <c r="F107" s="31">
        <v>16</v>
      </c>
      <c r="G107" s="31">
        <v>0</v>
      </c>
      <c r="H107" s="31">
        <v>16</v>
      </c>
    </row>
    <row r="108" spans="1:8" x14ac:dyDescent="0.2">
      <c r="A108" t="s">
        <v>432</v>
      </c>
      <c r="B108" t="s">
        <v>431</v>
      </c>
      <c r="C108" t="s">
        <v>1</v>
      </c>
      <c r="D108" t="s">
        <v>1774</v>
      </c>
      <c r="E108" s="31">
        <v>0</v>
      </c>
      <c r="F108" s="31">
        <v>43</v>
      </c>
      <c r="G108" s="31">
        <v>0</v>
      </c>
      <c r="H108" s="31">
        <v>43</v>
      </c>
    </row>
    <row r="109" spans="1:8" x14ac:dyDescent="0.2">
      <c r="A109" t="s">
        <v>432</v>
      </c>
      <c r="B109" t="s">
        <v>431</v>
      </c>
      <c r="C109" t="s">
        <v>1639</v>
      </c>
      <c r="D109" t="s">
        <v>1773</v>
      </c>
      <c r="E109" s="31">
        <v>8</v>
      </c>
      <c r="F109" s="31">
        <v>0</v>
      </c>
      <c r="G109" s="31">
        <v>0</v>
      </c>
      <c r="H109" s="31">
        <v>8</v>
      </c>
    </row>
    <row r="110" spans="1:8" x14ac:dyDescent="0.2">
      <c r="A110" t="s">
        <v>1841</v>
      </c>
      <c r="B110" t="s">
        <v>435</v>
      </c>
      <c r="C110" t="s">
        <v>1</v>
      </c>
      <c r="D110" t="s">
        <v>1774</v>
      </c>
      <c r="E110" s="31">
        <v>0</v>
      </c>
      <c r="F110" s="31">
        <v>3</v>
      </c>
      <c r="G110" s="31">
        <v>3</v>
      </c>
      <c r="H110" s="31">
        <v>6</v>
      </c>
    </row>
    <row r="111" spans="1:8" x14ac:dyDescent="0.2">
      <c r="A111" t="s">
        <v>1841</v>
      </c>
      <c r="B111" t="s">
        <v>435</v>
      </c>
      <c r="C111" t="s">
        <v>1639</v>
      </c>
      <c r="D111" t="s">
        <v>1773</v>
      </c>
      <c r="E111" s="31">
        <v>14</v>
      </c>
      <c r="F111" s="31">
        <v>0</v>
      </c>
      <c r="G111" s="31">
        <v>0</v>
      </c>
      <c r="H111" s="31">
        <v>14</v>
      </c>
    </row>
    <row r="112" spans="1:8" x14ac:dyDescent="0.2">
      <c r="A112" t="s">
        <v>439</v>
      </c>
      <c r="B112" t="s">
        <v>438</v>
      </c>
      <c r="C112" t="s">
        <v>1</v>
      </c>
      <c r="D112" t="s">
        <v>1774</v>
      </c>
      <c r="E112" s="31">
        <v>0</v>
      </c>
      <c r="F112" s="31">
        <v>0</v>
      </c>
      <c r="G112" s="31">
        <v>1</v>
      </c>
      <c r="H112" s="31">
        <v>1</v>
      </c>
    </row>
    <row r="113" spans="1:8" x14ac:dyDescent="0.2">
      <c r="A113" t="s">
        <v>1844</v>
      </c>
      <c r="B113" t="s">
        <v>438</v>
      </c>
      <c r="C113" t="s">
        <v>1</v>
      </c>
      <c r="D113" t="s">
        <v>1773</v>
      </c>
      <c r="E113" s="31">
        <v>31</v>
      </c>
      <c r="F113" s="31">
        <v>0</v>
      </c>
      <c r="G113" s="31">
        <v>0</v>
      </c>
      <c r="H113" s="31">
        <v>31</v>
      </c>
    </row>
    <row r="114" spans="1:8" x14ac:dyDescent="0.2">
      <c r="A114" t="s">
        <v>1844</v>
      </c>
      <c r="B114" t="s">
        <v>438</v>
      </c>
      <c r="C114" t="s">
        <v>1</v>
      </c>
      <c r="D114" t="s">
        <v>1774</v>
      </c>
      <c r="E114" s="31">
        <v>0</v>
      </c>
      <c r="F114" s="31">
        <v>125</v>
      </c>
      <c r="G114" s="31">
        <v>8</v>
      </c>
      <c r="H114" s="31">
        <v>133</v>
      </c>
    </row>
    <row r="115" spans="1:8" x14ac:dyDescent="0.2">
      <c r="A115" t="s">
        <v>1844</v>
      </c>
      <c r="B115" t="s">
        <v>438</v>
      </c>
      <c r="C115" t="s">
        <v>1639</v>
      </c>
      <c r="D115" t="s">
        <v>1773</v>
      </c>
      <c r="E115" s="31">
        <v>104</v>
      </c>
      <c r="F115" s="31">
        <v>0</v>
      </c>
      <c r="G115" s="31">
        <v>0</v>
      </c>
      <c r="H115" s="31">
        <v>104</v>
      </c>
    </row>
    <row r="116" spans="1:8" x14ac:dyDescent="0.2">
      <c r="A116" t="s">
        <v>442</v>
      </c>
      <c r="B116" t="s">
        <v>441</v>
      </c>
      <c r="C116" t="s">
        <v>1</v>
      </c>
      <c r="D116" t="s">
        <v>1774</v>
      </c>
      <c r="E116" s="31">
        <v>0</v>
      </c>
      <c r="F116" s="31">
        <v>0</v>
      </c>
      <c r="G116" s="31">
        <v>1</v>
      </c>
      <c r="H116" s="31">
        <v>1</v>
      </c>
    </row>
    <row r="117" spans="1:8" x14ac:dyDescent="0.2">
      <c r="A117" t="s">
        <v>1888</v>
      </c>
      <c r="B117" t="s">
        <v>441</v>
      </c>
      <c r="C117" t="s">
        <v>1</v>
      </c>
      <c r="D117" t="s">
        <v>1774</v>
      </c>
      <c r="E117" s="31">
        <v>0</v>
      </c>
      <c r="F117" s="31">
        <v>7</v>
      </c>
      <c r="G117" s="31">
        <v>0</v>
      </c>
      <c r="H117" s="31">
        <v>7</v>
      </c>
    </row>
    <row r="118" spans="1:8" x14ac:dyDescent="0.2">
      <c r="A118" t="s">
        <v>1888</v>
      </c>
      <c r="B118" t="s">
        <v>441</v>
      </c>
      <c r="C118" t="s">
        <v>1639</v>
      </c>
      <c r="D118" t="s">
        <v>1773</v>
      </c>
      <c r="E118" s="31">
        <v>5</v>
      </c>
      <c r="F118" s="31">
        <v>0</v>
      </c>
      <c r="G118" s="31">
        <v>0</v>
      </c>
      <c r="H118" s="31">
        <v>5</v>
      </c>
    </row>
    <row r="119" spans="1:8" x14ac:dyDescent="0.2">
      <c r="A119" t="s">
        <v>453</v>
      </c>
      <c r="B119" t="s">
        <v>202</v>
      </c>
      <c r="C119" t="s">
        <v>1</v>
      </c>
      <c r="D119" t="s">
        <v>1774</v>
      </c>
      <c r="E119" s="31">
        <v>0</v>
      </c>
      <c r="F119" s="31">
        <v>0</v>
      </c>
      <c r="G119" s="31">
        <v>1</v>
      </c>
      <c r="H119" s="31">
        <v>1</v>
      </c>
    </row>
    <row r="120" spans="1:8" x14ac:dyDescent="0.2">
      <c r="A120" t="s">
        <v>453</v>
      </c>
      <c r="B120" t="s">
        <v>202</v>
      </c>
      <c r="C120" t="s">
        <v>1639</v>
      </c>
      <c r="D120" t="s">
        <v>1773</v>
      </c>
      <c r="E120" s="31">
        <v>1</v>
      </c>
      <c r="F120" s="31">
        <v>0</v>
      </c>
      <c r="G120" s="31">
        <v>0</v>
      </c>
      <c r="H120" s="31">
        <v>1</v>
      </c>
    </row>
    <row r="121" spans="1:8" x14ac:dyDescent="0.2">
      <c r="A121" t="s">
        <v>1884</v>
      </c>
      <c r="B121" t="s">
        <v>254</v>
      </c>
      <c r="C121" t="s">
        <v>1</v>
      </c>
      <c r="D121" t="s">
        <v>1773</v>
      </c>
      <c r="E121" s="31">
        <v>1</v>
      </c>
      <c r="F121" s="31">
        <v>0</v>
      </c>
      <c r="G121" s="31">
        <v>0</v>
      </c>
      <c r="H121" s="31">
        <v>1</v>
      </c>
    </row>
    <row r="122" spans="1:8" x14ac:dyDescent="0.2">
      <c r="A122" t="s">
        <v>1884</v>
      </c>
      <c r="B122" t="s">
        <v>254</v>
      </c>
      <c r="C122" t="s">
        <v>1</v>
      </c>
      <c r="D122" t="s">
        <v>1774</v>
      </c>
      <c r="E122" s="31">
        <v>1001</v>
      </c>
      <c r="F122" s="31">
        <v>0</v>
      </c>
      <c r="G122" s="31">
        <v>0</v>
      </c>
      <c r="H122" s="31">
        <v>1001</v>
      </c>
    </row>
    <row r="123" spans="1:8" x14ac:dyDescent="0.2">
      <c r="A123" t="s">
        <v>1884</v>
      </c>
      <c r="B123" t="s">
        <v>254</v>
      </c>
      <c r="C123" t="s">
        <v>1639</v>
      </c>
      <c r="D123" t="s">
        <v>1773</v>
      </c>
      <c r="E123" s="31">
        <v>925</v>
      </c>
      <c r="F123" s="31">
        <v>0</v>
      </c>
      <c r="G123" s="31">
        <v>0</v>
      </c>
      <c r="H123" s="31">
        <v>925</v>
      </c>
    </row>
    <row r="124" spans="1:8" x14ac:dyDescent="0.2">
      <c r="A124" t="s">
        <v>456</v>
      </c>
      <c r="B124" t="s">
        <v>254</v>
      </c>
      <c r="C124" t="s">
        <v>1</v>
      </c>
      <c r="D124" t="s">
        <v>1773</v>
      </c>
      <c r="E124" s="31">
        <v>114</v>
      </c>
      <c r="F124" s="31">
        <v>0</v>
      </c>
      <c r="G124" s="31">
        <v>0</v>
      </c>
      <c r="H124" s="31">
        <v>114</v>
      </c>
    </row>
    <row r="125" spans="1:8" x14ac:dyDescent="0.2">
      <c r="A125" t="s">
        <v>456</v>
      </c>
      <c r="B125" t="s">
        <v>254</v>
      </c>
      <c r="C125" t="s">
        <v>1</v>
      </c>
      <c r="D125" t="s">
        <v>1774</v>
      </c>
      <c r="E125" s="31">
        <v>1</v>
      </c>
      <c r="F125" s="31">
        <v>0</v>
      </c>
      <c r="G125" s="31">
        <v>2</v>
      </c>
      <c r="H125" s="31">
        <v>3</v>
      </c>
    </row>
    <row r="126" spans="1:8" x14ac:dyDescent="0.2">
      <c r="A126" t="s">
        <v>1838</v>
      </c>
      <c r="B126" t="s">
        <v>459</v>
      </c>
      <c r="C126" t="s">
        <v>1</v>
      </c>
      <c r="D126" t="s">
        <v>1774</v>
      </c>
      <c r="E126" s="31">
        <v>0</v>
      </c>
      <c r="F126" s="31">
        <v>0</v>
      </c>
      <c r="G126" s="31">
        <v>1</v>
      </c>
      <c r="H126" s="31">
        <v>1</v>
      </c>
    </row>
    <row r="127" spans="1:8" x14ac:dyDescent="0.2">
      <c r="A127" t="s">
        <v>1838</v>
      </c>
      <c r="B127" t="s">
        <v>459</v>
      </c>
      <c r="C127" t="s">
        <v>1639</v>
      </c>
      <c r="D127" t="s">
        <v>1773</v>
      </c>
      <c r="E127" s="31">
        <v>12</v>
      </c>
      <c r="F127" s="31">
        <v>0</v>
      </c>
      <c r="G127" s="31">
        <v>0</v>
      </c>
      <c r="H127" s="31">
        <v>12</v>
      </c>
    </row>
    <row r="128" spans="1:8" x14ac:dyDescent="0.2">
      <c r="A128" t="s">
        <v>474</v>
      </c>
      <c r="B128" t="s">
        <v>411</v>
      </c>
      <c r="C128" t="s">
        <v>1</v>
      </c>
      <c r="E128" s="31">
        <v>0</v>
      </c>
      <c r="F128" s="31">
        <v>0</v>
      </c>
      <c r="G128" s="31">
        <v>2</v>
      </c>
      <c r="H128" s="31">
        <v>2</v>
      </c>
    </row>
    <row r="129" spans="1:8" x14ac:dyDescent="0.2">
      <c r="A129" t="s">
        <v>475</v>
      </c>
      <c r="B129" t="s">
        <v>411</v>
      </c>
      <c r="C129" t="s">
        <v>1639</v>
      </c>
      <c r="D129" t="s">
        <v>1773</v>
      </c>
      <c r="E129" s="31">
        <v>10</v>
      </c>
      <c r="F129" s="31">
        <v>0</v>
      </c>
      <c r="G129" s="31">
        <v>0</v>
      </c>
      <c r="H129" s="31">
        <v>10</v>
      </c>
    </row>
    <row r="130" spans="1:8" x14ac:dyDescent="0.2">
      <c r="A130" t="s">
        <v>480</v>
      </c>
      <c r="B130" t="s">
        <v>254</v>
      </c>
      <c r="C130" t="s">
        <v>1</v>
      </c>
      <c r="D130" t="s">
        <v>1773</v>
      </c>
      <c r="E130" s="31">
        <v>12</v>
      </c>
      <c r="F130" s="31">
        <v>0</v>
      </c>
      <c r="G130" s="31">
        <v>0</v>
      </c>
      <c r="H130" s="31">
        <v>12</v>
      </c>
    </row>
    <row r="131" spans="1:8" x14ac:dyDescent="0.2">
      <c r="A131" t="s">
        <v>480</v>
      </c>
      <c r="B131" t="s">
        <v>254</v>
      </c>
      <c r="C131" t="s">
        <v>1</v>
      </c>
      <c r="D131" t="s">
        <v>1774</v>
      </c>
      <c r="E131" s="31">
        <v>12</v>
      </c>
      <c r="F131" s="31">
        <v>0</v>
      </c>
      <c r="G131" s="31">
        <v>0</v>
      </c>
      <c r="H131" s="31">
        <v>12</v>
      </c>
    </row>
    <row r="132" spans="1:8" x14ac:dyDescent="0.2">
      <c r="A132" t="s">
        <v>480</v>
      </c>
      <c r="B132" t="s">
        <v>254</v>
      </c>
      <c r="C132" t="s">
        <v>1639</v>
      </c>
      <c r="D132" t="s">
        <v>1773</v>
      </c>
      <c r="E132" s="31">
        <v>675</v>
      </c>
      <c r="F132" s="31">
        <v>0</v>
      </c>
      <c r="G132" s="31">
        <v>0</v>
      </c>
      <c r="H132" s="31">
        <v>675</v>
      </c>
    </row>
    <row r="133" spans="1:8" x14ac:dyDescent="0.2">
      <c r="A133" t="s">
        <v>483</v>
      </c>
      <c r="B133" t="s">
        <v>283</v>
      </c>
      <c r="C133" t="s">
        <v>1639</v>
      </c>
      <c r="D133" t="s">
        <v>1773</v>
      </c>
      <c r="E133" s="31">
        <v>238</v>
      </c>
      <c r="F133" s="31">
        <v>0</v>
      </c>
      <c r="G133" s="31">
        <v>0</v>
      </c>
      <c r="H133" s="31">
        <v>238</v>
      </c>
    </row>
    <row r="134" spans="1:8" x14ac:dyDescent="0.2">
      <c r="A134" t="s">
        <v>485</v>
      </c>
      <c r="B134" t="s">
        <v>287</v>
      </c>
      <c r="C134" t="s">
        <v>1</v>
      </c>
      <c r="D134" t="s">
        <v>1774</v>
      </c>
      <c r="E134" s="31">
        <v>6</v>
      </c>
      <c r="F134" s="31">
        <v>0</v>
      </c>
      <c r="G134" s="31">
        <v>21</v>
      </c>
      <c r="H134" s="31">
        <v>27</v>
      </c>
    </row>
    <row r="135" spans="1:8" x14ac:dyDescent="0.2">
      <c r="A135" t="s">
        <v>490</v>
      </c>
      <c r="B135" t="s">
        <v>488</v>
      </c>
      <c r="C135" t="s">
        <v>1</v>
      </c>
      <c r="D135" t="s">
        <v>1774</v>
      </c>
      <c r="E135" s="31">
        <v>322</v>
      </c>
      <c r="F135" s="31">
        <v>0</v>
      </c>
      <c r="G135" s="31">
        <v>0</v>
      </c>
      <c r="H135" s="31">
        <v>322</v>
      </c>
    </row>
    <row r="136" spans="1:8" x14ac:dyDescent="0.2">
      <c r="A136" t="s">
        <v>492</v>
      </c>
      <c r="B136" t="s">
        <v>356</v>
      </c>
      <c r="C136" t="s">
        <v>1</v>
      </c>
      <c r="D136" t="s">
        <v>1773</v>
      </c>
      <c r="E136" s="31">
        <v>128</v>
      </c>
      <c r="F136" s="31">
        <v>0</v>
      </c>
      <c r="G136" s="31">
        <v>0</v>
      </c>
      <c r="H136" s="31">
        <v>128</v>
      </c>
    </row>
    <row r="137" spans="1:8" x14ac:dyDescent="0.2">
      <c r="A137" t="s">
        <v>493</v>
      </c>
      <c r="B137" t="s">
        <v>1859</v>
      </c>
      <c r="C137" t="s">
        <v>1</v>
      </c>
      <c r="D137" t="s">
        <v>1773</v>
      </c>
      <c r="E137" s="31">
        <v>1</v>
      </c>
      <c r="F137" s="31">
        <v>0</v>
      </c>
      <c r="G137" s="31">
        <v>0</v>
      </c>
      <c r="H137" s="31">
        <v>1</v>
      </c>
    </row>
    <row r="138" spans="1:8" x14ac:dyDescent="0.2">
      <c r="A138" t="s">
        <v>493</v>
      </c>
      <c r="B138" t="s">
        <v>1859</v>
      </c>
      <c r="C138" t="s">
        <v>1</v>
      </c>
      <c r="D138" t="s">
        <v>1774</v>
      </c>
      <c r="E138" s="31">
        <v>610</v>
      </c>
      <c r="F138" s="31">
        <v>0</v>
      </c>
      <c r="G138" s="31">
        <v>0</v>
      </c>
      <c r="H138" s="31">
        <v>610</v>
      </c>
    </row>
    <row r="139" spans="1:8" x14ac:dyDescent="0.2">
      <c r="A139" t="s">
        <v>494</v>
      </c>
      <c r="B139" t="s">
        <v>324</v>
      </c>
      <c r="C139" t="s">
        <v>1639</v>
      </c>
      <c r="D139" t="s">
        <v>1773</v>
      </c>
      <c r="E139" s="31">
        <v>0</v>
      </c>
      <c r="F139" s="31">
        <v>0.22</v>
      </c>
      <c r="G139" s="31">
        <v>0</v>
      </c>
      <c r="H139" s="31">
        <v>0.22</v>
      </c>
    </row>
    <row r="140" spans="1:8" x14ac:dyDescent="0.2">
      <c r="A140" t="s">
        <v>495</v>
      </c>
      <c r="B140" t="s">
        <v>1846</v>
      </c>
      <c r="C140" t="s">
        <v>1</v>
      </c>
      <c r="D140" t="s">
        <v>1774</v>
      </c>
      <c r="E140" s="31">
        <v>194</v>
      </c>
      <c r="F140" s="31">
        <v>7</v>
      </c>
      <c r="G140" s="31">
        <v>0</v>
      </c>
      <c r="H140" s="31">
        <v>201</v>
      </c>
    </row>
    <row r="141" spans="1:8" x14ac:dyDescent="0.2">
      <c r="A141" t="s">
        <v>1662</v>
      </c>
      <c r="B141" t="s">
        <v>1920</v>
      </c>
      <c r="C141" t="s">
        <v>1</v>
      </c>
      <c r="D141" t="s">
        <v>1774</v>
      </c>
      <c r="E141" s="31">
        <v>445</v>
      </c>
      <c r="F141" s="31">
        <v>0</v>
      </c>
      <c r="G141" s="31">
        <v>0</v>
      </c>
      <c r="H141" s="31">
        <v>445</v>
      </c>
    </row>
    <row r="142" spans="1:8" x14ac:dyDescent="0.2">
      <c r="A142" t="s">
        <v>1663</v>
      </c>
      <c r="B142" t="s">
        <v>1904</v>
      </c>
      <c r="C142" t="s">
        <v>1</v>
      </c>
      <c r="D142" t="s">
        <v>1773</v>
      </c>
      <c r="E142" s="31">
        <v>942</v>
      </c>
      <c r="F142" s="31">
        <v>0</v>
      </c>
      <c r="G142" s="31">
        <v>0</v>
      </c>
      <c r="H142" s="31">
        <v>942</v>
      </c>
    </row>
    <row r="143" spans="1:8" x14ac:dyDescent="0.2">
      <c r="A143" t="s">
        <v>1663</v>
      </c>
      <c r="B143" t="s">
        <v>1904</v>
      </c>
      <c r="C143" t="s">
        <v>1</v>
      </c>
      <c r="D143" t="s">
        <v>1774</v>
      </c>
      <c r="E143" s="31">
        <v>176</v>
      </c>
      <c r="F143" s="31">
        <v>91</v>
      </c>
      <c r="G143" s="31">
        <v>0</v>
      </c>
      <c r="H143" s="31">
        <v>267</v>
      </c>
    </row>
    <row r="144" spans="1:8" x14ac:dyDescent="0.2">
      <c r="A144" t="s">
        <v>1663</v>
      </c>
      <c r="B144" t="s">
        <v>1904</v>
      </c>
      <c r="C144" t="s">
        <v>1639</v>
      </c>
      <c r="D144" t="s">
        <v>1773</v>
      </c>
      <c r="E144" s="31">
        <v>303</v>
      </c>
      <c r="F144" s="31">
        <v>0</v>
      </c>
      <c r="G144" s="31">
        <v>0</v>
      </c>
      <c r="H144" s="31">
        <v>303</v>
      </c>
    </row>
    <row r="145" spans="1:8" x14ac:dyDescent="0.2">
      <c r="A145" t="s">
        <v>1665</v>
      </c>
      <c r="B145" t="s">
        <v>1866</v>
      </c>
      <c r="C145" t="s">
        <v>1</v>
      </c>
      <c r="D145" t="s">
        <v>1773</v>
      </c>
      <c r="E145" s="31">
        <v>1058</v>
      </c>
      <c r="F145" s="31">
        <v>0</v>
      </c>
      <c r="G145" s="31">
        <v>0</v>
      </c>
      <c r="H145" s="31">
        <v>1058</v>
      </c>
    </row>
    <row r="146" spans="1:8" x14ac:dyDescent="0.2">
      <c r="A146" t="s">
        <v>1665</v>
      </c>
      <c r="B146" t="s">
        <v>1866</v>
      </c>
      <c r="C146" t="s">
        <v>1639</v>
      </c>
      <c r="D146" t="s">
        <v>1773</v>
      </c>
      <c r="E146" s="31">
        <v>1166</v>
      </c>
      <c r="F146" s="31">
        <v>0</v>
      </c>
      <c r="G146" s="31">
        <v>0</v>
      </c>
      <c r="H146" s="31">
        <v>1166</v>
      </c>
    </row>
    <row r="147" spans="1:8" x14ac:dyDescent="0.2">
      <c r="A147" t="s">
        <v>1921</v>
      </c>
      <c r="B147" t="s">
        <v>1866</v>
      </c>
      <c r="C147" t="s">
        <v>1</v>
      </c>
      <c r="D147" t="s">
        <v>1774</v>
      </c>
      <c r="E147" s="31">
        <v>509</v>
      </c>
      <c r="F147" s="31">
        <v>256</v>
      </c>
      <c r="G147" s="31">
        <v>0</v>
      </c>
      <c r="H147" s="31">
        <v>765</v>
      </c>
    </row>
    <row r="148" spans="1:8" x14ac:dyDescent="0.2">
      <c r="A148" t="s">
        <v>1666</v>
      </c>
      <c r="B148" t="s">
        <v>1870</v>
      </c>
      <c r="C148" t="s">
        <v>1</v>
      </c>
      <c r="D148" t="s">
        <v>1773</v>
      </c>
      <c r="E148" s="31">
        <v>868</v>
      </c>
      <c r="F148" s="31">
        <v>0</v>
      </c>
      <c r="G148" s="31">
        <v>0</v>
      </c>
      <c r="H148" s="31">
        <v>868</v>
      </c>
    </row>
    <row r="149" spans="1:8" x14ac:dyDescent="0.2">
      <c r="A149" t="s">
        <v>1666</v>
      </c>
      <c r="B149" t="s">
        <v>1870</v>
      </c>
      <c r="C149" t="s">
        <v>1</v>
      </c>
      <c r="D149" t="s">
        <v>1774</v>
      </c>
      <c r="E149" s="31">
        <v>0</v>
      </c>
      <c r="F149" s="31">
        <v>19</v>
      </c>
      <c r="G149" s="31">
        <v>0</v>
      </c>
      <c r="H149" s="31">
        <v>19</v>
      </c>
    </row>
    <row r="150" spans="1:8" x14ac:dyDescent="0.2">
      <c r="A150" t="s">
        <v>1666</v>
      </c>
      <c r="B150" t="s">
        <v>1870</v>
      </c>
      <c r="C150" t="s">
        <v>1639</v>
      </c>
      <c r="D150" t="s">
        <v>1773</v>
      </c>
      <c r="E150" s="31">
        <v>434</v>
      </c>
      <c r="F150" s="31">
        <v>0</v>
      </c>
      <c r="G150" s="31">
        <v>0</v>
      </c>
      <c r="H150" s="31">
        <v>434</v>
      </c>
    </row>
    <row r="151" spans="1:8" x14ac:dyDescent="0.2">
      <c r="A151" t="s">
        <v>1667</v>
      </c>
      <c r="B151" t="s">
        <v>1909</v>
      </c>
      <c r="C151" t="s">
        <v>1</v>
      </c>
      <c r="D151" t="s">
        <v>1773</v>
      </c>
      <c r="E151" s="31">
        <v>336</v>
      </c>
      <c r="F151" s="31">
        <v>0</v>
      </c>
      <c r="G151" s="31">
        <v>0</v>
      </c>
      <c r="H151" s="31">
        <v>336</v>
      </c>
    </row>
    <row r="152" spans="1:8" x14ac:dyDescent="0.2">
      <c r="A152" t="s">
        <v>1667</v>
      </c>
      <c r="B152" t="s">
        <v>1909</v>
      </c>
      <c r="C152" t="s">
        <v>1</v>
      </c>
      <c r="D152" t="s">
        <v>1774</v>
      </c>
      <c r="E152" s="31">
        <v>145</v>
      </c>
      <c r="F152" s="31">
        <v>0</v>
      </c>
      <c r="G152" s="31">
        <v>0</v>
      </c>
      <c r="H152" s="31">
        <v>145</v>
      </c>
    </row>
    <row r="153" spans="1:8" x14ac:dyDescent="0.2">
      <c r="A153" t="s">
        <v>1667</v>
      </c>
      <c r="B153" t="s">
        <v>1909</v>
      </c>
      <c r="C153" t="s">
        <v>1639</v>
      </c>
      <c r="D153" t="s">
        <v>1773</v>
      </c>
      <c r="E153" s="31">
        <v>506</v>
      </c>
      <c r="F153" s="31">
        <v>0</v>
      </c>
      <c r="G153" s="31">
        <v>0</v>
      </c>
      <c r="H153" s="31">
        <v>506</v>
      </c>
    </row>
    <row r="154" spans="1:8" x14ac:dyDescent="0.2">
      <c r="A154" t="s">
        <v>1668</v>
      </c>
      <c r="B154" t="s">
        <v>1899</v>
      </c>
      <c r="C154" t="s">
        <v>1</v>
      </c>
      <c r="D154" t="s">
        <v>1773</v>
      </c>
      <c r="E154" s="31">
        <v>1</v>
      </c>
      <c r="F154" s="31">
        <v>0</v>
      </c>
      <c r="G154" s="31">
        <v>0</v>
      </c>
      <c r="H154" s="31">
        <v>1</v>
      </c>
    </row>
    <row r="155" spans="1:8" x14ac:dyDescent="0.2">
      <c r="A155" t="s">
        <v>1668</v>
      </c>
      <c r="B155" t="s">
        <v>1899</v>
      </c>
      <c r="C155" t="s">
        <v>1639</v>
      </c>
      <c r="D155" t="s">
        <v>1773</v>
      </c>
      <c r="E155" s="31">
        <v>1006</v>
      </c>
      <c r="F155" s="31">
        <v>0</v>
      </c>
      <c r="G155" s="31">
        <v>0</v>
      </c>
      <c r="H155" s="31">
        <v>1006</v>
      </c>
    </row>
    <row r="156" spans="1:8" x14ac:dyDescent="0.2">
      <c r="A156" t="s">
        <v>505</v>
      </c>
      <c r="B156" t="s">
        <v>1850</v>
      </c>
      <c r="C156" t="s">
        <v>1</v>
      </c>
      <c r="D156" t="s">
        <v>1773</v>
      </c>
      <c r="E156" s="31">
        <v>1</v>
      </c>
      <c r="F156" s="31">
        <v>0</v>
      </c>
      <c r="G156" s="31">
        <v>0</v>
      </c>
      <c r="H156" s="31">
        <v>1</v>
      </c>
    </row>
    <row r="157" spans="1:8" x14ac:dyDescent="0.2">
      <c r="A157" t="s">
        <v>505</v>
      </c>
      <c r="B157" t="s">
        <v>1850</v>
      </c>
      <c r="C157" t="s">
        <v>1639</v>
      </c>
      <c r="D157" t="s">
        <v>1773</v>
      </c>
      <c r="E157" s="31">
        <v>509</v>
      </c>
      <c r="F157" s="31">
        <v>0</v>
      </c>
      <c r="G157" s="31">
        <v>0</v>
      </c>
      <c r="H157" s="31">
        <v>509</v>
      </c>
    </row>
    <row r="158" spans="1:8" x14ac:dyDescent="0.2">
      <c r="A158" t="s">
        <v>506</v>
      </c>
      <c r="B158" t="s">
        <v>1889</v>
      </c>
      <c r="C158" t="s">
        <v>1639</v>
      </c>
      <c r="D158" t="s">
        <v>1773</v>
      </c>
      <c r="E158" s="31">
        <v>103</v>
      </c>
      <c r="F158" s="31">
        <v>0</v>
      </c>
      <c r="G158" s="31">
        <v>0</v>
      </c>
      <c r="H158" s="31">
        <v>103</v>
      </c>
    </row>
    <row r="159" spans="1:8" x14ac:dyDescent="0.2">
      <c r="A159" t="s">
        <v>1669</v>
      </c>
      <c r="B159" t="s">
        <v>1856</v>
      </c>
      <c r="C159" t="s">
        <v>1</v>
      </c>
      <c r="D159" t="s">
        <v>1774</v>
      </c>
      <c r="E159" s="31">
        <v>0</v>
      </c>
      <c r="F159" s="31">
        <v>5</v>
      </c>
      <c r="G159" s="31">
        <v>0</v>
      </c>
      <c r="H159" s="31">
        <v>5</v>
      </c>
    </row>
    <row r="160" spans="1:8" x14ac:dyDescent="0.2">
      <c r="A160" t="s">
        <v>508</v>
      </c>
      <c r="B160" t="s">
        <v>1871</v>
      </c>
      <c r="C160" t="s">
        <v>1639</v>
      </c>
      <c r="D160" t="s">
        <v>1773</v>
      </c>
      <c r="E160" s="31">
        <v>27</v>
      </c>
      <c r="F160" s="31">
        <v>0</v>
      </c>
      <c r="G160" s="31">
        <v>0</v>
      </c>
      <c r="H160" s="31">
        <v>27</v>
      </c>
    </row>
    <row r="161" spans="1:8" x14ac:dyDescent="0.2">
      <c r="A161" t="s">
        <v>509</v>
      </c>
      <c r="B161" t="s">
        <v>1869</v>
      </c>
      <c r="C161" t="s">
        <v>1</v>
      </c>
      <c r="D161" t="s">
        <v>1774</v>
      </c>
      <c r="E161" s="31">
        <v>71</v>
      </c>
      <c r="F161" s="31">
        <v>0</v>
      </c>
      <c r="G161" s="31">
        <v>0</v>
      </c>
      <c r="H161" s="31">
        <v>71</v>
      </c>
    </row>
    <row r="162" spans="1:8" x14ac:dyDescent="0.2">
      <c r="A162" t="s">
        <v>509</v>
      </c>
      <c r="B162" t="s">
        <v>1869</v>
      </c>
      <c r="C162" t="s">
        <v>1639</v>
      </c>
      <c r="D162" t="s">
        <v>1773</v>
      </c>
      <c r="E162" s="31">
        <v>5</v>
      </c>
      <c r="F162" s="31">
        <v>0</v>
      </c>
      <c r="G162" s="31">
        <v>0</v>
      </c>
      <c r="H162" s="31">
        <v>5</v>
      </c>
    </row>
    <row r="163" spans="1:8" x14ac:dyDescent="0.2">
      <c r="A163" t="s">
        <v>512</v>
      </c>
      <c r="B163" t="s">
        <v>1802</v>
      </c>
      <c r="C163" t="s">
        <v>1</v>
      </c>
      <c r="D163" t="s">
        <v>1774</v>
      </c>
      <c r="E163" s="31">
        <v>0</v>
      </c>
      <c r="F163" s="31">
        <v>8</v>
      </c>
      <c r="G163" s="31">
        <v>0</v>
      </c>
      <c r="H163" s="31">
        <v>8</v>
      </c>
    </row>
    <row r="164" spans="1:8" x14ac:dyDescent="0.2">
      <c r="A164" t="s">
        <v>1670</v>
      </c>
      <c r="B164" t="s">
        <v>1810</v>
      </c>
      <c r="C164" t="s">
        <v>1</v>
      </c>
      <c r="D164" t="s">
        <v>1773</v>
      </c>
      <c r="E164" s="31">
        <v>397</v>
      </c>
      <c r="F164" s="31">
        <v>0</v>
      </c>
      <c r="G164" s="31">
        <v>0</v>
      </c>
      <c r="H164" s="31">
        <v>397</v>
      </c>
    </row>
    <row r="165" spans="1:8" x14ac:dyDescent="0.2">
      <c r="A165" t="s">
        <v>1670</v>
      </c>
      <c r="B165" t="s">
        <v>1810</v>
      </c>
      <c r="C165" t="s">
        <v>1</v>
      </c>
      <c r="D165" t="s">
        <v>1774</v>
      </c>
      <c r="E165" s="31">
        <v>48</v>
      </c>
      <c r="F165" s="31">
        <v>0</v>
      </c>
      <c r="G165" s="31">
        <v>0</v>
      </c>
      <c r="H165" s="31">
        <v>48</v>
      </c>
    </row>
    <row r="166" spans="1:8" x14ac:dyDescent="0.2">
      <c r="A166" t="s">
        <v>1918</v>
      </c>
      <c r="B166" t="s">
        <v>1810</v>
      </c>
      <c r="C166" t="s">
        <v>1</v>
      </c>
      <c r="D166" t="s">
        <v>1773</v>
      </c>
      <c r="E166" s="31">
        <v>240</v>
      </c>
      <c r="F166" s="31">
        <v>0</v>
      </c>
      <c r="G166" s="31">
        <v>0</v>
      </c>
      <c r="H166" s="31">
        <v>240</v>
      </c>
    </row>
    <row r="167" spans="1:8" x14ac:dyDescent="0.2">
      <c r="A167" t="s">
        <v>1918</v>
      </c>
      <c r="B167" t="s">
        <v>1810</v>
      </c>
      <c r="C167" t="s">
        <v>1</v>
      </c>
      <c r="D167" t="s">
        <v>1774</v>
      </c>
      <c r="E167" s="31">
        <v>50</v>
      </c>
      <c r="F167" s="31">
        <v>0</v>
      </c>
      <c r="G167" s="31">
        <v>0</v>
      </c>
      <c r="H167" s="31">
        <v>50</v>
      </c>
    </row>
    <row r="168" spans="1:8" x14ac:dyDescent="0.2">
      <c r="A168" t="s">
        <v>513</v>
      </c>
      <c r="B168" t="s">
        <v>514</v>
      </c>
      <c r="C168" t="s">
        <v>1</v>
      </c>
      <c r="E168" s="31">
        <v>0</v>
      </c>
      <c r="F168" s="31">
        <v>0</v>
      </c>
      <c r="G168" s="31">
        <v>59</v>
      </c>
      <c r="H168" s="31">
        <v>59</v>
      </c>
    </row>
    <row r="169" spans="1:8" x14ac:dyDescent="0.2">
      <c r="A169" t="s">
        <v>513</v>
      </c>
      <c r="B169" t="s">
        <v>514</v>
      </c>
      <c r="C169" t="s">
        <v>1</v>
      </c>
      <c r="D169" t="s">
        <v>1774</v>
      </c>
      <c r="E169" s="31">
        <v>0</v>
      </c>
      <c r="F169" s="31">
        <v>181</v>
      </c>
      <c r="G169" s="31">
        <v>0</v>
      </c>
      <c r="H169" s="31">
        <v>181</v>
      </c>
    </row>
    <row r="170" spans="1:8" x14ac:dyDescent="0.2">
      <c r="A170" t="s">
        <v>515</v>
      </c>
      <c r="B170" t="s">
        <v>516</v>
      </c>
      <c r="C170" t="s">
        <v>1639</v>
      </c>
      <c r="D170" t="s">
        <v>1773</v>
      </c>
      <c r="E170" s="31">
        <v>646</v>
      </c>
      <c r="F170" s="31">
        <v>0</v>
      </c>
      <c r="G170" s="31">
        <v>0</v>
      </c>
      <c r="H170" s="31">
        <v>646</v>
      </c>
    </row>
    <row r="171" spans="1:8" x14ac:dyDescent="0.2">
      <c r="A171" t="s">
        <v>1671</v>
      </c>
      <c r="B171" t="s">
        <v>1803</v>
      </c>
      <c r="C171" t="s">
        <v>1</v>
      </c>
      <c r="D171" t="s">
        <v>1774</v>
      </c>
      <c r="E171" s="31">
        <v>0</v>
      </c>
      <c r="F171" s="31">
        <v>24</v>
      </c>
      <c r="G171" s="31">
        <v>0</v>
      </c>
      <c r="H171" s="31">
        <v>24</v>
      </c>
    </row>
    <row r="172" spans="1:8" x14ac:dyDescent="0.2">
      <c r="A172" t="s">
        <v>1671</v>
      </c>
      <c r="B172" t="s">
        <v>1803</v>
      </c>
      <c r="C172" t="s">
        <v>1639</v>
      </c>
      <c r="D172" t="s">
        <v>1773</v>
      </c>
      <c r="E172" s="31">
        <v>285</v>
      </c>
      <c r="F172" s="31">
        <v>0</v>
      </c>
      <c r="G172" s="31">
        <v>0</v>
      </c>
      <c r="H172" s="31">
        <v>285</v>
      </c>
    </row>
    <row r="173" spans="1:8" x14ac:dyDescent="0.2">
      <c r="A173" t="s">
        <v>519</v>
      </c>
      <c r="B173" t="s">
        <v>283</v>
      </c>
      <c r="C173" t="s">
        <v>1</v>
      </c>
      <c r="D173" t="s">
        <v>1773</v>
      </c>
      <c r="E173" s="31">
        <v>5</v>
      </c>
      <c r="F173" s="31">
        <v>0</v>
      </c>
      <c r="G173" s="31">
        <v>0</v>
      </c>
      <c r="H173" s="31">
        <v>5</v>
      </c>
    </row>
    <row r="174" spans="1:8" x14ac:dyDescent="0.2">
      <c r="A174" t="s">
        <v>519</v>
      </c>
      <c r="B174" t="s">
        <v>283</v>
      </c>
      <c r="C174" t="s">
        <v>1</v>
      </c>
      <c r="D174" t="s">
        <v>1774</v>
      </c>
      <c r="E174" s="31">
        <v>13</v>
      </c>
      <c r="F174" s="31">
        <v>0</v>
      </c>
      <c r="G174" s="31">
        <v>0</v>
      </c>
      <c r="H174" s="31">
        <v>13</v>
      </c>
    </row>
    <row r="175" spans="1:8" x14ac:dyDescent="0.2">
      <c r="A175" t="s">
        <v>519</v>
      </c>
      <c r="B175" t="s">
        <v>283</v>
      </c>
      <c r="C175" t="s">
        <v>1639</v>
      </c>
      <c r="D175" t="s">
        <v>1773</v>
      </c>
      <c r="E175" s="31">
        <v>96</v>
      </c>
      <c r="F175" s="31">
        <v>0</v>
      </c>
      <c r="G175" s="31">
        <v>0</v>
      </c>
      <c r="H175" s="31">
        <v>96</v>
      </c>
    </row>
    <row r="176" spans="1:8" x14ac:dyDescent="0.2">
      <c r="A176" t="s">
        <v>520</v>
      </c>
      <c r="B176" t="s">
        <v>270</v>
      </c>
      <c r="C176" t="s">
        <v>1</v>
      </c>
      <c r="D176" t="s">
        <v>1773</v>
      </c>
      <c r="E176" s="31">
        <v>1</v>
      </c>
      <c r="F176" s="31">
        <v>0</v>
      </c>
      <c r="G176" s="31">
        <v>0</v>
      </c>
      <c r="H176" s="31">
        <v>1</v>
      </c>
    </row>
    <row r="177" spans="1:8" x14ac:dyDescent="0.2">
      <c r="A177" t="s">
        <v>520</v>
      </c>
      <c r="B177" t="s">
        <v>270</v>
      </c>
      <c r="C177" t="s">
        <v>1</v>
      </c>
      <c r="D177" t="s">
        <v>1774</v>
      </c>
      <c r="E177" s="31">
        <v>0</v>
      </c>
      <c r="F177" s="31">
        <v>0</v>
      </c>
      <c r="G177" s="31">
        <v>10</v>
      </c>
      <c r="H177" s="31">
        <v>10</v>
      </c>
    </row>
    <row r="178" spans="1:8" x14ac:dyDescent="0.2">
      <c r="A178" t="s">
        <v>522</v>
      </c>
      <c r="B178" t="s">
        <v>477</v>
      </c>
      <c r="C178" t="s">
        <v>1</v>
      </c>
      <c r="D178" t="s">
        <v>1774</v>
      </c>
      <c r="E178" s="31">
        <v>3</v>
      </c>
      <c r="F178" s="31">
        <v>0</v>
      </c>
      <c r="G178" s="31">
        <v>0</v>
      </c>
      <c r="H178" s="31">
        <v>3</v>
      </c>
    </row>
    <row r="179" spans="1:8" x14ac:dyDescent="0.2">
      <c r="A179" t="s">
        <v>1885</v>
      </c>
      <c r="B179" t="s">
        <v>477</v>
      </c>
      <c r="C179" t="s">
        <v>1639</v>
      </c>
      <c r="D179" t="s">
        <v>1773</v>
      </c>
      <c r="E179" s="31">
        <v>500</v>
      </c>
      <c r="F179" s="31">
        <v>0</v>
      </c>
      <c r="G179" s="31">
        <v>0</v>
      </c>
      <c r="H179" s="31">
        <v>500</v>
      </c>
    </row>
    <row r="180" spans="1:8" x14ac:dyDescent="0.2">
      <c r="A180" t="s">
        <v>1872</v>
      </c>
      <c r="B180" t="s">
        <v>359</v>
      </c>
      <c r="C180" t="s">
        <v>1</v>
      </c>
      <c r="D180" t="s">
        <v>1773</v>
      </c>
      <c r="E180" s="31">
        <v>210</v>
      </c>
      <c r="F180" s="31">
        <v>0</v>
      </c>
      <c r="G180" s="31">
        <v>0</v>
      </c>
      <c r="H180" s="31">
        <v>210</v>
      </c>
    </row>
    <row r="181" spans="1:8" x14ac:dyDescent="0.2">
      <c r="A181" t="s">
        <v>1872</v>
      </c>
      <c r="B181" t="s">
        <v>359</v>
      </c>
      <c r="C181" t="s">
        <v>1639</v>
      </c>
      <c r="D181" t="s">
        <v>1773</v>
      </c>
      <c r="E181" s="31">
        <v>89</v>
      </c>
      <c r="F181" s="31">
        <v>0</v>
      </c>
      <c r="G181" s="31">
        <v>0</v>
      </c>
      <c r="H181" s="31">
        <v>89</v>
      </c>
    </row>
    <row r="182" spans="1:8" x14ac:dyDescent="0.2">
      <c r="A182" t="s">
        <v>524</v>
      </c>
      <c r="B182" t="s">
        <v>287</v>
      </c>
      <c r="C182" t="s">
        <v>1</v>
      </c>
      <c r="D182" t="s">
        <v>1774</v>
      </c>
      <c r="E182" s="31">
        <v>1</v>
      </c>
      <c r="F182" s="31">
        <v>0</v>
      </c>
      <c r="G182" s="31">
        <v>0</v>
      </c>
      <c r="H182" s="31">
        <v>1</v>
      </c>
    </row>
    <row r="183" spans="1:8" x14ac:dyDescent="0.2">
      <c r="A183" t="s">
        <v>526</v>
      </c>
      <c r="B183" t="s">
        <v>1782</v>
      </c>
      <c r="C183" t="s">
        <v>1</v>
      </c>
      <c r="D183" t="s">
        <v>1773</v>
      </c>
      <c r="E183" s="31">
        <v>13</v>
      </c>
      <c r="F183" s="31">
        <v>0</v>
      </c>
      <c r="G183" s="31">
        <v>0</v>
      </c>
      <c r="H183" s="31">
        <v>13</v>
      </c>
    </row>
    <row r="184" spans="1:8" x14ac:dyDescent="0.2">
      <c r="A184" t="s">
        <v>526</v>
      </c>
      <c r="B184" t="s">
        <v>1782</v>
      </c>
      <c r="C184" t="s">
        <v>1</v>
      </c>
      <c r="D184" t="s">
        <v>1774</v>
      </c>
      <c r="E184" s="31">
        <v>1</v>
      </c>
      <c r="F184" s="31">
        <v>0</v>
      </c>
      <c r="G184" s="31">
        <v>1</v>
      </c>
      <c r="H184" s="31">
        <v>2</v>
      </c>
    </row>
    <row r="185" spans="1:8" x14ac:dyDescent="0.2">
      <c r="A185" t="s">
        <v>529</v>
      </c>
      <c r="B185" t="s">
        <v>356</v>
      </c>
      <c r="C185" t="s">
        <v>1</v>
      </c>
      <c r="D185" t="s">
        <v>1773</v>
      </c>
      <c r="E185" s="31">
        <v>2</v>
      </c>
      <c r="F185" s="31">
        <v>0</v>
      </c>
      <c r="G185" s="31">
        <v>0</v>
      </c>
      <c r="H185" s="31">
        <v>2</v>
      </c>
    </row>
    <row r="186" spans="1:8" x14ac:dyDescent="0.2">
      <c r="A186" t="s">
        <v>529</v>
      </c>
      <c r="B186" t="s">
        <v>356</v>
      </c>
      <c r="C186" t="s">
        <v>1639</v>
      </c>
      <c r="D186" t="s">
        <v>1773</v>
      </c>
      <c r="E186" s="31">
        <v>123</v>
      </c>
      <c r="F186" s="31">
        <v>0</v>
      </c>
      <c r="G186" s="31">
        <v>0</v>
      </c>
      <c r="H186" s="31">
        <v>123</v>
      </c>
    </row>
    <row r="187" spans="1:8" x14ac:dyDescent="0.2">
      <c r="A187" t="s">
        <v>530</v>
      </c>
      <c r="B187" t="s">
        <v>283</v>
      </c>
      <c r="C187" t="s">
        <v>1</v>
      </c>
      <c r="D187" t="s">
        <v>1773</v>
      </c>
      <c r="E187" s="31">
        <v>4</v>
      </c>
      <c r="F187" s="31">
        <v>0</v>
      </c>
      <c r="G187" s="31">
        <v>0</v>
      </c>
      <c r="H187" s="31">
        <v>4</v>
      </c>
    </row>
    <row r="188" spans="1:8" x14ac:dyDescent="0.2">
      <c r="A188" t="s">
        <v>530</v>
      </c>
      <c r="B188" t="s">
        <v>283</v>
      </c>
      <c r="C188" t="s">
        <v>1</v>
      </c>
      <c r="D188" t="s">
        <v>1774</v>
      </c>
      <c r="E188" s="31">
        <v>71</v>
      </c>
      <c r="F188" s="31">
        <v>5</v>
      </c>
      <c r="G188" s="31">
        <v>0</v>
      </c>
      <c r="H188" s="31">
        <v>76</v>
      </c>
    </row>
    <row r="189" spans="1:8" x14ac:dyDescent="0.2">
      <c r="A189" t="s">
        <v>531</v>
      </c>
      <c r="B189" t="s">
        <v>411</v>
      </c>
      <c r="C189" t="s">
        <v>1</v>
      </c>
      <c r="E189" s="31">
        <v>0</v>
      </c>
      <c r="F189" s="31">
        <v>0</v>
      </c>
      <c r="G189" s="31">
        <v>10</v>
      </c>
      <c r="H189" s="31">
        <v>10</v>
      </c>
    </row>
    <row r="190" spans="1:8" x14ac:dyDescent="0.2">
      <c r="A190" t="s">
        <v>531</v>
      </c>
      <c r="B190" t="s">
        <v>411</v>
      </c>
      <c r="C190" t="s">
        <v>1</v>
      </c>
      <c r="D190" t="s">
        <v>1774</v>
      </c>
      <c r="E190" s="31">
        <v>0</v>
      </c>
      <c r="F190" s="31">
        <v>0</v>
      </c>
      <c r="G190" s="31">
        <v>3</v>
      </c>
      <c r="H190" s="31">
        <v>3</v>
      </c>
    </row>
    <row r="191" spans="1:8" x14ac:dyDescent="0.2">
      <c r="A191" t="s">
        <v>1890</v>
      </c>
      <c r="B191" t="s">
        <v>535</v>
      </c>
      <c r="C191" t="s">
        <v>1</v>
      </c>
      <c r="D191" t="s">
        <v>1773</v>
      </c>
      <c r="E191" s="31">
        <v>72</v>
      </c>
      <c r="F191" s="31">
        <v>0</v>
      </c>
      <c r="G191" s="31">
        <v>0</v>
      </c>
      <c r="H191" s="31">
        <v>72</v>
      </c>
    </row>
    <row r="192" spans="1:8" x14ac:dyDescent="0.2">
      <c r="A192" t="s">
        <v>1890</v>
      </c>
      <c r="B192" t="s">
        <v>535</v>
      </c>
      <c r="C192" t="s">
        <v>1639</v>
      </c>
      <c r="D192" t="s">
        <v>1773</v>
      </c>
      <c r="E192" s="31">
        <v>30</v>
      </c>
      <c r="F192" s="31">
        <v>0</v>
      </c>
      <c r="G192" s="31">
        <v>0</v>
      </c>
      <c r="H192" s="31">
        <v>30</v>
      </c>
    </row>
    <row r="193" spans="1:8" x14ac:dyDescent="0.2">
      <c r="A193" t="s">
        <v>536</v>
      </c>
      <c r="B193" t="s">
        <v>537</v>
      </c>
      <c r="C193" t="s">
        <v>1</v>
      </c>
      <c r="D193" t="s">
        <v>1773</v>
      </c>
      <c r="E193" s="31">
        <v>1</v>
      </c>
      <c r="F193" s="31">
        <v>0</v>
      </c>
      <c r="G193" s="31">
        <v>0</v>
      </c>
      <c r="H193" s="31">
        <v>1</v>
      </c>
    </row>
    <row r="194" spans="1:8" x14ac:dyDescent="0.2">
      <c r="A194" t="s">
        <v>538</v>
      </c>
      <c r="B194" t="s">
        <v>240</v>
      </c>
      <c r="C194" t="s">
        <v>1639</v>
      </c>
      <c r="D194" t="s">
        <v>1773</v>
      </c>
      <c r="E194" s="31">
        <v>3</v>
      </c>
      <c r="F194" s="31">
        <v>0</v>
      </c>
      <c r="G194" s="31">
        <v>0</v>
      </c>
      <c r="H194" s="31">
        <v>3</v>
      </c>
    </row>
    <row r="195" spans="1:8" x14ac:dyDescent="0.2">
      <c r="A195" t="s">
        <v>539</v>
      </c>
      <c r="B195" t="s">
        <v>241</v>
      </c>
      <c r="C195" t="s">
        <v>1</v>
      </c>
      <c r="D195" t="s">
        <v>1773</v>
      </c>
      <c r="E195" s="31">
        <v>80</v>
      </c>
      <c r="F195" s="31">
        <v>0</v>
      </c>
      <c r="G195" s="31">
        <v>0</v>
      </c>
      <c r="H195" s="31">
        <v>80</v>
      </c>
    </row>
    <row r="196" spans="1:8" x14ac:dyDescent="0.2">
      <c r="A196" t="s">
        <v>539</v>
      </c>
      <c r="B196" t="s">
        <v>241</v>
      </c>
      <c r="C196" t="s">
        <v>1639</v>
      </c>
      <c r="D196" t="s">
        <v>1773</v>
      </c>
      <c r="E196" s="31">
        <v>4</v>
      </c>
      <c r="F196" s="31">
        <v>0</v>
      </c>
      <c r="G196" s="31">
        <v>0</v>
      </c>
      <c r="H196" s="31">
        <v>4</v>
      </c>
    </row>
    <row r="197" spans="1:8" x14ac:dyDescent="0.2">
      <c r="A197" t="s">
        <v>540</v>
      </c>
      <c r="B197" t="s">
        <v>240</v>
      </c>
      <c r="C197" t="s">
        <v>1</v>
      </c>
      <c r="D197" t="s">
        <v>1773</v>
      </c>
      <c r="E197" s="31">
        <v>3</v>
      </c>
      <c r="F197" s="31">
        <v>0</v>
      </c>
      <c r="G197" s="31">
        <v>0</v>
      </c>
      <c r="H197" s="31">
        <v>3</v>
      </c>
    </row>
    <row r="198" spans="1:8" x14ac:dyDescent="0.2">
      <c r="A198" t="s">
        <v>540</v>
      </c>
      <c r="B198" t="s">
        <v>240</v>
      </c>
      <c r="C198" t="s">
        <v>1639</v>
      </c>
      <c r="D198" t="s">
        <v>1773</v>
      </c>
      <c r="E198" s="31">
        <v>3</v>
      </c>
      <c r="F198" s="31">
        <v>0</v>
      </c>
      <c r="G198" s="31">
        <v>0</v>
      </c>
      <c r="H198" s="31">
        <v>3</v>
      </c>
    </row>
    <row r="199" spans="1:8" x14ac:dyDescent="0.2">
      <c r="A199" t="s">
        <v>541</v>
      </c>
      <c r="B199" t="s">
        <v>542</v>
      </c>
      <c r="C199" t="s">
        <v>1</v>
      </c>
      <c r="D199" t="s">
        <v>1774</v>
      </c>
      <c r="E199" s="31">
        <v>0</v>
      </c>
      <c r="F199" s="31">
        <v>0</v>
      </c>
      <c r="G199" s="31">
        <v>1</v>
      </c>
      <c r="H199" s="31">
        <v>1</v>
      </c>
    </row>
    <row r="200" spans="1:8" x14ac:dyDescent="0.2">
      <c r="A200" t="s">
        <v>1881</v>
      </c>
      <c r="B200" t="s">
        <v>542</v>
      </c>
      <c r="C200" t="s">
        <v>1</v>
      </c>
      <c r="D200" t="s">
        <v>1773</v>
      </c>
      <c r="E200" s="31">
        <v>586</v>
      </c>
      <c r="F200" s="31">
        <v>0</v>
      </c>
      <c r="G200" s="31">
        <v>0</v>
      </c>
      <c r="H200" s="31">
        <v>586</v>
      </c>
    </row>
    <row r="201" spans="1:8" x14ac:dyDescent="0.2">
      <c r="A201" t="s">
        <v>1881</v>
      </c>
      <c r="B201" t="s">
        <v>542</v>
      </c>
      <c r="C201" t="s">
        <v>1639</v>
      </c>
      <c r="D201" t="s">
        <v>1773</v>
      </c>
      <c r="E201" s="31">
        <v>122</v>
      </c>
      <c r="F201" s="31">
        <v>0</v>
      </c>
      <c r="G201" s="31">
        <v>0</v>
      </c>
      <c r="H201" s="31">
        <v>122</v>
      </c>
    </row>
    <row r="202" spans="1:8" x14ac:dyDescent="0.2">
      <c r="A202" t="s">
        <v>543</v>
      </c>
      <c r="B202" t="s">
        <v>411</v>
      </c>
      <c r="C202" t="s">
        <v>1</v>
      </c>
      <c r="D202" t="s">
        <v>1774</v>
      </c>
      <c r="E202" s="31">
        <v>0</v>
      </c>
      <c r="F202" s="31">
        <v>2</v>
      </c>
      <c r="G202" s="31">
        <v>1</v>
      </c>
      <c r="H202" s="31">
        <v>3</v>
      </c>
    </row>
    <row r="203" spans="1:8" x14ac:dyDescent="0.2">
      <c r="A203" t="s">
        <v>1891</v>
      </c>
      <c r="B203" t="s">
        <v>411</v>
      </c>
      <c r="C203" t="s">
        <v>1</v>
      </c>
      <c r="D203" t="s">
        <v>1773</v>
      </c>
      <c r="E203" s="31">
        <v>1</v>
      </c>
      <c r="F203" s="31">
        <v>0</v>
      </c>
      <c r="G203" s="31">
        <v>0</v>
      </c>
      <c r="H203" s="31">
        <v>1</v>
      </c>
    </row>
    <row r="204" spans="1:8" x14ac:dyDescent="0.2">
      <c r="A204" t="s">
        <v>1891</v>
      </c>
      <c r="B204" t="s">
        <v>411</v>
      </c>
      <c r="C204" t="s">
        <v>1639</v>
      </c>
      <c r="D204" t="s">
        <v>1773</v>
      </c>
      <c r="E204" s="31">
        <v>100</v>
      </c>
      <c r="F204" s="31">
        <v>0</v>
      </c>
      <c r="G204" s="31">
        <v>0</v>
      </c>
      <c r="H204" s="31">
        <v>100</v>
      </c>
    </row>
    <row r="205" spans="1:8" x14ac:dyDescent="0.2">
      <c r="A205" t="s">
        <v>1721</v>
      </c>
      <c r="B205" t="s">
        <v>1837</v>
      </c>
      <c r="C205" t="s">
        <v>1</v>
      </c>
      <c r="D205" t="s">
        <v>1773</v>
      </c>
      <c r="E205" s="31">
        <v>10</v>
      </c>
      <c r="F205" s="31">
        <v>0</v>
      </c>
      <c r="G205" s="31">
        <v>0</v>
      </c>
      <c r="H205" s="31">
        <v>10</v>
      </c>
    </row>
    <row r="206" spans="1:8" x14ac:dyDescent="0.2">
      <c r="A206" t="s">
        <v>1721</v>
      </c>
      <c r="B206" t="s">
        <v>1837</v>
      </c>
      <c r="C206" t="s">
        <v>1639</v>
      </c>
      <c r="D206" t="s">
        <v>1773</v>
      </c>
      <c r="E206" s="31">
        <v>75</v>
      </c>
      <c r="F206" s="31">
        <v>0</v>
      </c>
      <c r="G206" s="31">
        <v>0</v>
      </c>
      <c r="H206" s="31">
        <v>75</v>
      </c>
    </row>
    <row r="207" spans="1:8" x14ac:dyDescent="0.2">
      <c r="A207" t="s">
        <v>552</v>
      </c>
      <c r="B207" t="s">
        <v>241</v>
      </c>
      <c r="C207" t="s">
        <v>1</v>
      </c>
      <c r="D207" t="s">
        <v>1773</v>
      </c>
      <c r="E207" s="31">
        <v>90</v>
      </c>
      <c r="F207" s="31">
        <v>0</v>
      </c>
      <c r="G207" s="31">
        <v>0</v>
      </c>
      <c r="H207" s="31">
        <v>90</v>
      </c>
    </row>
    <row r="208" spans="1:8" x14ac:dyDescent="0.2">
      <c r="A208" t="s">
        <v>555</v>
      </c>
      <c r="B208" t="s">
        <v>1839</v>
      </c>
      <c r="C208" t="s">
        <v>1</v>
      </c>
      <c r="E208" s="31">
        <v>0</v>
      </c>
      <c r="F208" s="31">
        <v>0</v>
      </c>
      <c r="G208" s="31">
        <v>18</v>
      </c>
      <c r="H208" s="31">
        <v>18</v>
      </c>
    </row>
    <row r="209" spans="1:8" x14ac:dyDescent="0.2">
      <c r="A209" t="s">
        <v>555</v>
      </c>
      <c r="B209" t="s">
        <v>1839</v>
      </c>
      <c r="C209" t="s">
        <v>1</v>
      </c>
      <c r="D209" t="s">
        <v>1773</v>
      </c>
      <c r="E209" s="31">
        <v>350</v>
      </c>
      <c r="F209" s="31">
        <v>0</v>
      </c>
      <c r="G209" s="31">
        <v>0</v>
      </c>
      <c r="H209" s="31">
        <v>350</v>
      </c>
    </row>
    <row r="210" spans="1:8" x14ac:dyDescent="0.2">
      <c r="A210" t="s">
        <v>555</v>
      </c>
      <c r="B210" t="s">
        <v>1839</v>
      </c>
      <c r="C210" t="s">
        <v>1</v>
      </c>
      <c r="D210" t="s">
        <v>1774</v>
      </c>
      <c r="E210" s="31">
        <v>0</v>
      </c>
      <c r="F210" s="31">
        <v>24</v>
      </c>
      <c r="G210" s="31">
        <v>0</v>
      </c>
      <c r="H210" s="31">
        <v>24</v>
      </c>
    </row>
    <row r="211" spans="1:8" x14ac:dyDescent="0.2">
      <c r="A211" t="s">
        <v>555</v>
      </c>
      <c r="B211" t="s">
        <v>1839</v>
      </c>
      <c r="C211" t="s">
        <v>1639</v>
      </c>
      <c r="D211" t="s">
        <v>1773</v>
      </c>
      <c r="E211" s="31">
        <v>135</v>
      </c>
      <c r="F211" s="31">
        <v>0</v>
      </c>
      <c r="G211" s="31">
        <v>0</v>
      </c>
      <c r="H211" s="31">
        <v>135</v>
      </c>
    </row>
    <row r="212" spans="1:8" x14ac:dyDescent="0.2">
      <c r="A212" t="s">
        <v>1726</v>
      </c>
      <c r="B212" t="s">
        <v>1791</v>
      </c>
      <c r="C212" t="s">
        <v>1</v>
      </c>
      <c r="D212" t="s">
        <v>1773</v>
      </c>
      <c r="E212" s="31">
        <v>14</v>
      </c>
      <c r="F212" s="31">
        <v>0</v>
      </c>
      <c r="G212" s="31">
        <v>0</v>
      </c>
      <c r="H212" s="31">
        <v>14</v>
      </c>
    </row>
    <row r="213" spans="1:8" x14ac:dyDescent="0.2">
      <c r="A213" t="s">
        <v>1726</v>
      </c>
      <c r="B213" t="s">
        <v>1791</v>
      </c>
      <c r="C213" t="s">
        <v>1639</v>
      </c>
      <c r="D213" t="s">
        <v>1773</v>
      </c>
      <c r="E213" s="31">
        <v>30</v>
      </c>
      <c r="F213" s="31">
        <v>0</v>
      </c>
      <c r="G213" s="31">
        <v>0</v>
      </c>
      <c r="H213" s="31">
        <v>30</v>
      </c>
    </row>
    <row r="214" spans="1:8" x14ac:dyDescent="0.2">
      <c r="A214" t="s">
        <v>560</v>
      </c>
      <c r="B214" t="s">
        <v>561</v>
      </c>
      <c r="C214" t="s">
        <v>1</v>
      </c>
      <c r="E214" s="31">
        <v>0</v>
      </c>
      <c r="F214" s="31">
        <v>0</v>
      </c>
      <c r="G214" s="31">
        <v>3.1259999999999999</v>
      </c>
      <c r="H214" s="31">
        <v>3.1259999999999999</v>
      </c>
    </row>
    <row r="215" spans="1:8" x14ac:dyDescent="0.2">
      <c r="A215" t="s">
        <v>566</v>
      </c>
      <c r="B215" t="s">
        <v>565</v>
      </c>
      <c r="C215" t="s">
        <v>1</v>
      </c>
      <c r="D215" t="s">
        <v>1774</v>
      </c>
      <c r="E215" s="31">
        <v>0</v>
      </c>
      <c r="F215" s="31">
        <v>0</v>
      </c>
      <c r="G215" s="31">
        <v>1</v>
      </c>
      <c r="H215" s="31">
        <v>1</v>
      </c>
    </row>
    <row r="216" spans="1:8" x14ac:dyDescent="0.2">
      <c r="A216" t="s">
        <v>566</v>
      </c>
      <c r="B216" t="s">
        <v>565</v>
      </c>
      <c r="C216" t="s">
        <v>1639</v>
      </c>
      <c r="D216" t="s">
        <v>1773</v>
      </c>
      <c r="E216" s="31">
        <v>3</v>
      </c>
      <c r="F216" s="31">
        <v>0</v>
      </c>
      <c r="G216" s="31">
        <v>0</v>
      </c>
      <c r="H216" s="31">
        <v>3</v>
      </c>
    </row>
    <row r="217" spans="1:8" x14ac:dyDescent="0.2">
      <c r="A217" t="s">
        <v>592</v>
      </c>
      <c r="B217" t="s">
        <v>477</v>
      </c>
      <c r="C217" t="s">
        <v>1</v>
      </c>
      <c r="D217" t="s">
        <v>1773</v>
      </c>
      <c r="E217" s="31">
        <v>5</v>
      </c>
      <c r="F217" s="31">
        <v>0</v>
      </c>
      <c r="G217" s="31">
        <v>0</v>
      </c>
      <c r="H217" s="31">
        <v>5</v>
      </c>
    </row>
    <row r="218" spans="1:8" x14ac:dyDescent="0.2">
      <c r="A218" t="s">
        <v>619</v>
      </c>
      <c r="B218" t="s">
        <v>575</v>
      </c>
      <c r="C218" t="s">
        <v>1</v>
      </c>
      <c r="D218" t="s">
        <v>1774</v>
      </c>
      <c r="E218" s="31">
        <v>1</v>
      </c>
      <c r="F218" s="31">
        <v>0</v>
      </c>
      <c r="G218" s="31">
        <v>0</v>
      </c>
      <c r="H218" s="31">
        <v>1</v>
      </c>
    </row>
    <row r="219" spans="1:8" x14ac:dyDescent="0.2">
      <c r="A219" t="s">
        <v>633</v>
      </c>
      <c r="B219" t="s">
        <v>561</v>
      </c>
      <c r="C219" t="s">
        <v>1</v>
      </c>
      <c r="E219" s="31">
        <v>0</v>
      </c>
      <c r="F219" s="31">
        <v>0</v>
      </c>
      <c r="G219" s="31">
        <v>76</v>
      </c>
      <c r="H219" s="31">
        <v>76</v>
      </c>
    </row>
    <row r="220" spans="1:8" x14ac:dyDescent="0.2">
      <c r="A220" t="s">
        <v>633</v>
      </c>
      <c r="B220" t="s">
        <v>561</v>
      </c>
      <c r="C220" t="s">
        <v>1</v>
      </c>
      <c r="D220" t="s">
        <v>1774</v>
      </c>
      <c r="E220" s="31">
        <v>0</v>
      </c>
      <c r="F220" s="31">
        <v>0</v>
      </c>
      <c r="G220" s="31">
        <v>1</v>
      </c>
      <c r="H220" s="31">
        <v>1</v>
      </c>
    </row>
    <row r="221" spans="1:8" x14ac:dyDescent="0.2">
      <c r="A221" t="s">
        <v>633</v>
      </c>
      <c r="B221" t="s">
        <v>561</v>
      </c>
      <c r="C221" t="s">
        <v>1639</v>
      </c>
      <c r="D221" t="s">
        <v>1773</v>
      </c>
      <c r="E221" s="31">
        <v>1</v>
      </c>
      <c r="F221" s="31">
        <v>0</v>
      </c>
      <c r="G221" s="31">
        <v>0</v>
      </c>
      <c r="H221" s="31">
        <v>1</v>
      </c>
    </row>
    <row r="222" spans="1:8" x14ac:dyDescent="0.2">
      <c r="A222" t="s">
        <v>643</v>
      </c>
      <c r="B222" t="s">
        <v>561</v>
      </c>
      <c r="C222" t="s">
        <v>1</v>
      </c>
      <c r="D222" t="s">
        <v>1773</v>
      </c>
      <c r="E222" s="31">
        <v>6</v>
      </c>
      <c r="F222" s="31">
        <v>0</v>
      </c>
      <c r="G222" s="31">
        <v>0</v>
      </c>
      <c r="H222" s="31">
        <v>6</v>
      </c>
    </row>
    <row r="223" spans="1:8" x14ac:dyDescent="0.2">
      <c r="A223" t="s">
        <v>643</v>
      </c>
      <c r="B223" t="s">
        <v>561</v>
      </c>
      <c r="C223" t="s">
        <v>1</v>
      </c>
      <c r="D223" t="s">
        <v>1774</v>
      </c>
      <c r="E223" s="31">
        <v>0</v>
      </c>
      <c r="F223" s="31">
        <v>0</v>
      </c>
      <c r="G223" s="31">
        <v>1</v>
      </c>
      <c r="H223" s="31">
        <v>1</v>
      </c>
    </row>
    <row r="224" spans="1:8" x14ac:dyDescent="0.2">
      <c r="A224" t="s">
        <v>644</v>
      </c>
      <c r="B224" t="s">
        <v>562</v>
      </c>
      <c r="C224" t="s">
        <v>1639</v>
      </c>
      <c r="D224" t="s">
        <v>1773</v>
      </c>
      <c r="E224" s="31">
        <v>2</v>
      </c>
      <c r="F224" s="31">
        <v>0</v>
      </c>
      <c r="G224" s="31">
        <v>0</v>
      </c>
      <c r="H224" s="31">
        <v>2</v>
      </c>
    </row>
    <row r="225" spans="1:8" x14ac:dyDescent="0.2">
      <c r="A225" t="s">
        <v>651</v>
      </c>
      <c r="B225" t="s">
        <v>650</v>
      </c>
      <c r="C225" t="s">
        <v>1</v>
      </c>
      <c r="D225" t="s">
        <v>1774</v>
      </c>
      <c r="E225" s="31">
        <v>138</v>
      </c>
      <c r="F225" s="31">
        <v>0</v>
      </c>
      <c r="G225" s="31">
        <v>0</v>
      </c>
      <c r="H225" s="31">
        <v>138</v>
      </c>
    </row>
    <row r="226" spans="1:8" x14ac:dyDescent="0.2">
      <c r="A226" t="s">
        <v>651</v>
      </c>
      <c r="B226" t="s">
        <v>650</v>
      </c>
      <c r="C226" t="s">
        <v>1639</v>
      </c>
      <c r="D226" t="s">
        <v>1773</v>
      </c>
      <c r="E226" s="31">
        <v>1</v>
      </c>
      <c r="F226" s="31">
        <v>0</v>
      </c>
      <c r="G226" s="31">
        <v>0</v>
      </c>
      <c r="H226" s="31">
        <v>1</v>
      </c>
    </row>
    <row r="227" spans="1:8" x14ac:dyDescent="0.2">
      <c r="A227" t="s">
        <v>663</v>
      </c>
      <c r="B227" t="s">
        <v>664</v>
      </c>
      <c r="C227" t="s">
        <v>1</v>
      </c>
      <c r="D227" t="s">
        <v>1773</v>
      </c>
      <c r="E227" s="31">
        <v>75</v>
      </c>
      <c r="F227" s="31">
        <v>0</v>
      </c>
      <c r="G227" s="31">
        <v>0</v>
      </c>
      <c r="H227" s="31">
        <v>75</v>
      </c>
    </row>
    <row r="228" spans="1:8" x14ac:dyDescent="0.2">
      <c r="A228" t="s">
        <v>665</v>
      </c>
      <c r="B228" t="s">
        <v>666</v>
      </c>
      <c r="C228" t="s">
        <v>1</v>
      </c>
      <c r="D228" t="s">
        <v>1773</v>
      </c>
      <c r="E228" s="31">
        <v>2</v>
      </c>
      <c r="F228" s="31">
        <v>0</v>
      </c>
      <c r="G228" s="31">
        <v>0</v>
      </c>
      <c r="H228" s="31">
        <v>2</v>
      </c>
    </row>
    <row r="229" spans="1:8" x14ac:dyDescent="0.2">
      <c r="A229" t="s">
        <v>665</v>
      </c>
      <c r="B229" t="s">
        <v>666</v>
      </c>
      <c r="C229" t="s">
        <v>1</v>
      </c>
      <c r="D229" t="s">
        <v>1774</v>
      </c>
      <c r="E229" s="31">
        <v>0</v>
      </c>
      <c r="F229" s="31">
        <v>0</v>
      </c>
      <c r="G229" s="31">
        <v>3</v>
      </c>
      <c r="H229" s="31">
        <v>3</v>
      </c>
    </row>
    <row r="230" spans="1:8" x14ac:dyDescent="0.2">
      <c r="A230" t="s">
        <v>665</v>
      </c>
      <c r="B230" t="s">
        <v>666</v>
      </c>
      <c r="C230" t="s">
        <v>1639</v>
      </c>
      <c r="D230" t="s">
        <v>1773</v>
      </c>
      <c r="E230" s="31">
        <v>9</v>
      </c>
      <c r="F230" s="31">
        <v>0</v>
      </c>
      <c r="G230" s="31">
        <v>0</v>
      </c>
      <c r="H230" s="31">
        <v>9</v>
      </c>
    </row>
    <row r="231" spans="1:8" x14ac:dyDescent="0.2">
      <c r="A231" t="s">
        <v>667</v>
      </c>
      <c r="B231" t="s">
        <v>668</v>
      </c>
      <c r="C231" t="s">
        <v>1639</v>
      </c>
      <c r="D231" t="s">
        <v>1773</v>
      </c>
      <c r="E231" s="31">
        <v>47</v>
      </c>
      <c r="F231" s="31">
        <v>0</v>
      </c>
      <c r="G231" s="31">
        <v>0</v>
      </c>
      <c r="H231" s="31">
        <v>47</v>
      </c>
    </row>
    <row r="232" spans="1:8" x14ac:dyDescent="0.2">
      <c r="A232" t="s">
        <v>669</v>
      </c>
      <c r="B232" t="s">
        <v>368</v>
      </c>
      <c r="C232" t="s">
        <v>1</v>
      </c>
      <c r="D232" t="s">
        <v>1773</v>
      </c>
      <c r="E232" s="31">
        <v>107</v>
      </c>
      <c r="F232" s="31">
        <v>0</v>
      </c>
      <c r="G232" s="31">
        <v>0</v>
      </c>
      <c r="H232" s="31">
        <v>107</v>
      </c>
    </row>
    <row r="233" spans="1:8" x14ac:dyDescent="0.2">
      <c r="A233" t="s">
        <v>670</v>
      </c>
      <c r="B233" t="s">
        <v>369</v>
      </c>
      <c r="C233" t="s">
        <v>1</v>
      </c>
      <c r="D233" t="s">
        <v>1773</v>
      </c>
      <c r="E233" s="31">
        <v>204</v>
      </c>
      <c r="F233" s="31">
        <v>0</v>
      </c>
      <c r="G233" s="31">
        <v>0</v>
      </c>
      <c r="H233" s="31">
        <v>204</v>
      </c>
    </row>
    <row r="234" spans="1:8" x14ac:dyDescent="0.2">
      <c r="A234" t="s">
        <v>670</v>
      </c>
      <c r="B234" t="s">
        <v>369</v>
      </c>
      <c r="C234" t="s">
        <v>1639</v>
      </c>
      <c r="D234" t="s">
        <v>1773</v>
      </c>
      <c r="E234" s="31">
        <v>4</v>
      </c>
      <c r="F234" s="31">
        <v>0</v>
      </c>
      <c r="G234" s="31">
        <v>0</v>
      </c>
      <c r="H234" s="31">
        <v>4</v>
      </c>
    </row>
    <row r="235" spans="1:8" x14ac:dyDescent="0.2">
      <c r="A235" t="s">
        <v>687</v>
      </c>
      <c r="B235" t="s">
        <v>688</v>
      </c>
      <c r="C235" t="s">
        <v>1</v>
      </c>
      <c r="D235" t="s">
        <v>1774</v>
      </c>
      <c r="E235" s="31">
        <v>0</v>
      </c>
      <c r="F235" s="31">
        <v>0</v>
      </c>
      <c r="G235" s="31">
        <v>1</v>
      </c>
      <c r="H235" s="31">
        <v>1</v>
      </c>
    </row>
    <row r="236" spans="1:8" x14ac:dyDescent="0.2">
      <c r="A236" t="s">
        <v>687</v>
      </c>
      <c r="B236" t="s">
        <v>688</v>
      </c>
      <c r="C236" t="s">
        <v>1639</v>
      </c>
      <c r="D236" t="s">
        <v>1773</v>
      </c>
      <c r="E236" s="31">
        <v>18</v>
      </c>
      <c r="F236" s="31">
        <v>0</v>
      </c>
      <c r="G236" s="31">
        <v>0</v>
      </c>
      <c r="H236" s="31">
        <v>18</v>
      </c>
    </row>
    <row r="237" spans="1:8" x14ac:dyDescent="0.2">
      <c r="A237" t="s">
        <v>689</v>
      </c>
      <c r="B237" t="s">
        <v>690</v>
      </c>
      <c r="C237" t="s">
        <v>1</v>
      </c>
      <c r="D237" t="s">
        <v>1773</v>
      </c>
      <c r="E237" s="31">
        <v>411</v>
      </c>
      <c r="F237" s="31">
        <v>0</v>
      </c>
      <c r="G237" s="31">
        <v>0</v>
      </c>
      <c r="H237" s="31">
        <v>411</v>
      </c>
    </row>
    <row r="238" spans="1:8" x14ac:dyDescent="0.2">
      <c r="A238" t="s">
        <v>689</v>
      </c>
      <c r="B238" t="s">
        <v>690</v>
      </c>
      <c r="C238" t="s">
        <v>1</v>
      </c>
      <c r="D238" t="s">
        <v>1774</v>
      </c>
      <c r="E238" s="31">
        <v>5</v>
      </c>
      <c r="F238" s="31">
        <v>0</v>
      </c>
      <c r="G238" s="31">
        <v>0</v>
      </c>
      <c r="H238" s="31">
        <v>5</v>
      </c>
    </row>
    <row r="239" spans="1:8" x14ac:dyDescent="0.2">
      <c r="A239" t="s">
        <v>1287</v>
      </c>
      <c r="B239" t="s">
        <v>1790</v>
      </c>
      <c r="C239" t="s">
        <v>1</v>
      </c>
      <c r="D239" t="s">
        <v>1773</v>
      </c>
      <c r="E239" s="31">
        <v>4</v>
      </c>
      <c r="F239" s="31">
        <v>0</v>
      </c>
      <c r="G239" s="31">
        <v>0</v>
      </c>
      <c r="H239" s="31">
        <v>4</v>
      </c>
    </row>
    <row r="240" spans="1:8" x14ac:dyDescent="0.2">
      <c r="A240" t="s">
        <v>707</v>
      </c>
      <c r="B240" t="s">
        <v>708</v>
      </c>
      <c r="C240" t="s">
        <v>1</v>
      </c>
      <c r="D240" t="s">
        <v>1773</v>
      </c>
      <c r="E240" s="31">
        <v>677</v>
      </c>
      <c r="F240" s="31">
        <v>0</v>
      </c>
      <c r="G240" s="31">
        <v>0</v>
      </c>
      <c r="H240" s="31">
        <v>677</v>
      </c>
    </row>
    <row r="241" spans="1:8" x14ac:dyDescent="0.2">
      <c r="A241" t="s">
        <v>707</v>
      </c>
      <c r="B241" t="s">
        <v>708</v>
      </c>
      <c r="C241" t="s">
        <v>1</v>
      </c>
      <c r="D241" t="s">
        <v>1774</v>
      </c>
      <c r="E241" s="31">
        <v>0</v>
      </c>
      <c r="F241" s="31">
        <v>0</v>
      </c>
      <c r="G241" s="31">
        <v>7</v>
      </c>
      <c r="H241" s="31">
        <v>7</v>
      </c>
    </row>
    <row r="242" spans="1:8" x14ac:dyDescent="0.2">
      <c r="A242" t="s">
        <v>1823</v>
      </c>
      <c r="B242" t="s">
        <v>1787</v>
      </c>
      <c r="C242" t="s">
        <v>1639</v>
      </c>
      <c r="D242" t="s">
        <v>1773</v>
      </c>
      <c r="E242" s="31">
        <v>80</v>
      </c>
      <c r="F242" s="31">
        <v>0</v>
      </c>
      <c r="G242" s="31">
        <v>0</v>
      </c>
      <c r="H242" s="31">
        <v>80</v>
      </c>
    </row>
    <row r="243" spans="1:8" x14ac:dyDescent="0.2">
      <c r="A243" t="s">
        <v>1827</v>
      </c>
      <c r="B243" t="s">
        <v>1828</v>
      </c>
      <c r="C243" t="s">
        <v>1</v>
      </c>
      <c r="D243" t="s">
        <v>1774</v>
      </c>
      <c r="E243" s="31">
        <v>0</v>
      </c>
      <c r="F243" s="31">
        <v>0</v>
      </c>
      <c r="G243" s="31">
        <v>1</v>
      </c>
      <c r="H243" s="31">
        <v>1</v>
      </c>
    </row>
    <row r="244" spans="1:8" x14ac:dyDescent="0.2">
      <c r="A244" t="s">
        <v>1827</v>
      </c>
      <c r="B244" t="s">
        <v>1828</v>
      </c>
      <c r="C244" t="s">
        <v>1639</v>
      </c>
      <c r="D244" t="s">
        <v>1773</v>
      </c>
      <c r="E244" s="31">
        <v>3</v>
      </c>
      <c r="F244" s="31">
        <v>0</v>
      </c>
      <c r="G244" s="31">
        <v>0</v>
      </c>
      <c r="H244" s="31">
        <v>3</v>
      </c>
    </row>
    <row r="245" spans="1:8" x14ac:dyDescent="0.2">
      <c r="A245" t="s">
        <v>1547</v>
      </c>
      <c r="B245" t="s">
        <v>232</v>
      </c>
      <c r="C245" t="s">
        <v>1639</v>
      </c>
      <c r="D245" t="s">
        <v>1773</v>
      </c>
      <c r="E245" s="31">
        <v>2</v>
      </c>
      <c r="F245" s="31">
        <v>0</v>
      </c>
      <c r="G245" s="31">
        <v>0</v>
      </c>
      <c r="H245" s="31">
        <v>2</v>
      </c>
    </row>
    <row r="246" spans="1:8" x14ac:dyDescent="0.2">
      <c r="A246" t="s">
        <v>1550</v>
      </c>
      <c r="B246" t="s">
        <v>240</v>
      </c>
      <c r="C246" t="s">
        <v>1</v>
      </c>
      <c r="D246" t="s">
        <v>1773</v>
      </c>
      <c r="E246" s="31">
        <v>15</v>
      </c>
      <c r="F246" s="31">
        <v>0</v>
      </c>
      <c r="G246" s="31">
        <v>0</v>
      </c>
      <c r="H246" s="31">
        <v>15</v>
      </c>
    </row>
    <row r="247" spans="1:8" x14ac:dyDescent="0.2">
      <c r="A247" t="s">
        <v>1550</v>
      </c>
      <c r="B247" t="s">
        <v>240</v>
      </c>
      <c r="C247" t="s">
        <v>1639</v>
      </c>
      <c r="D247" t="s">
        <v>1773</v>
      </c>
      <c r="E247" s="31">
        <v>189</v>
      </c>
      <c r="F247" s="31">
        <v>0</v>
      </c>
      <c r="G247" s="31">
        <v>0</v>
      </c>
      <c r="H247" s="31">
        <v>189</v>
      </c>
    </row>
    <row r="248" spans="1:8" x14ac:dyDescent="0.2">
      <c r="A248" t="s">
        <v>1551</v>
      </c>
      <c r="B248" t="s">
        <v>1775</v>
      </c>
      <c r="C248" t="s">
        <v>1639</v>
      </c>
      <c r="D248" t="s">
        <v>1773</v>
      </c>
      <c r="E248" s="31">
        <v>2</v>
      </c>
      <c r="F248" s="31">
        <v>0</v>
      </c>
      <c r="G248" s="31">
        <v>0</v>
      </c>
      <c r="H248" s="31">
        <v>2</v>
      </c>
    </row>
    <row r="249" spans="1:8" x14ac:dyDescent="0.2">
      <c r="A249" t="s">
        <v>719</v>
      </c>
      <c r="B249" t="s">
        <v>232</v>
      </c>
      <c r="C249" t="s">
        <v>1</v>
      </c>
      <c r="D249" t="s">
        <v>1773</v>
      </c>
      <c r="E249" s="31">
        <v>16</v>
      </c>
      <c r="F249" s="31">
        <v>0</v>
      </c>
      <c r="G249" s="31">
        <v>0</v>
      </c>
      <c r="H249" s="31">
        <v>16</v>
      </c>
    </row>
    <row r="250" spans="1:8" x14ac:dyDescent="0.2">
      <c r="A250" t="s">
        <v>719</v>
      </c>
      <c r="B250" t="s">
        <v>232</v>
      </c>
      <c r="C250" t="s">
        <v>1</v>
      </c>
      <c r="D250" t="s">
        <v>1774</v>
      </c>
      <c r="E250" s="31">
        <v>12</v>
      </c>
      <c r="F250" s="31">
        <v>94.92</v>
      </c>
      <c r="G250" s="31">
        <v>1</v>
      </c>
      <c r="H250" s="31">
        <v>107.92</v>
      </c>
    </row>
    <row r="251" spans="1:8" x14ac:dyDescent="0.2">
      <c r="A251" t="s">
        <v>719</v>
      </c>
      <c r="B251" t="s">
        <v>232</v>
      </c>
      <c r="C251" t="s">
        <v>1639</v>
      </c>
      <c r="D251" t="s">
        <v>1773</v>
      </c>
      <c r="E251" s="31">
        <v>189</v>
      </c>
      <c r="F251" s="31">
        <v>1</v>
      </c>
      <c r="G251" s="31">
        <v>0</v>
      </c>
      <c r="H251" s="31">
        <v>190</v>
      </c>
    </row>
    <row r="252" spans="1:8" x14ac:dyDescent="0.2">
      <c r="A252" t="s">
        <v>720</v>
      </c>
      <c r="B252" t="s">
        <v>1791</v>
      </c>
      <c r="C252" t="s">
        <v>1</v>
      </c>
      <c r="D252" t="s">
        <v>1773</v>
      </c>
      <c r="E252" s="31">
        <v>4</v>
      </c>
      <c r="F252" s="31">
        <v>0</v>
      </c>
      <c r="G252" s="31">
        <v>0</v>
      </c>
      <c r="H252" s="31">
        <v>4</v>
      </c>
    </row>
    <row r="253" spans="1:8" x14ac:dyDescent="0.2">
      <c r="A253" t="s">
        <v>721</v>
      </c>
      <c r="B253" t="s">
        <v>1800</v>
      </c>
      <c r="C253" t="s">
        <v>1</v>
      </c>
      <c r="D253" t="s">
        <v>1773</v>
      </c>
      <c r="E253" s="31">
        <v>130</v>
      </c>
      <c r="F253" s="31">
        <v>0</v>
      </c>
      <c r="G253" s="31">
        <v>0</v>
      </c>
      <c r="H253" s="31">
        <v>130</v>
      </c>
    </row>
    <row r="254" spans="1:8" x14ac:dyDescent="0.2">
      <c r="A254" t="s">
        <v>721</v>
      </c>
      <c r="B254" t="s">
        <v>1800</v>
      </c>
      <c r="C254" t="s">
        <v>1639</v>
      </c>
      <c r="D254" t="s">
        <v>1773</v>
      </c>
      <c r="E254" s="31">
        <v>24</v>
      </c>
      <c r="F254" s="31">
        <v>0</v>
      </c>
      <c r="G254" s="31">
        <v>0</v>
      </c>
      <c r="H254" s="31">
        <v>24</v>
      </c>
    </row>
    <row r="255" spans="1:8" x14ac:dyDescent="0.2">
      <c r="A255" t="s">
        <v>722</v>
      </c>
      <c r="B255" t="s">
        <v>240</v>
      </c>
      <c r="C255" t="s">
        <v>1</v>
      </c>
      <c r="D255" t="s">
        <v>1774</v>
      </c>
      <c r="E255" s="31">
        <v>0</v>
      </c>
      <c r="F255" s="31">
        <v>0</v>
      </c>
      <c r="G255" s="31">
        <v>1</v>
      </c>
      <c r="H255" s="31">
        <v>1</v>
      </c>
    </row>
    <row r="256" spans="1:8" x14ac:dyDescent="0.2">
      <c r="A256" t="s">
        <v>723</v>
      </c>
      <c r="B256" t="s">
        <v>1775</v>
      </c>
      <c r="C256" t="s">
        <v>1</v>
      </c>
      <c r="D256" t="s">
        <v>1773</v>
      </c>
      <c r="E256" s="31">
        <v>23</v>
      </c>
      <c r="F256" s="31">
        <v>0</v>
      </c>
      <c r="G256" s="31">
        <v>0</v>
      </c>
      <c r="H256" s="31">
        <v>23</v>
      </c>
    </row>
    <row r="257" spans="1:8" x14ac:dyDescent="0.2">
      <c r="A257" t="s">
        <v>723</v>
      </c>
      <c r="B257" t="s">
        <v>1775</v>
      </c>
      <c r="C257" t="s">
        <v>1</v>
      </c>
      <c r="D257" t="s">
        <v>1774</v>
      </c>
      <c r="E257" s="31">
        <v>0</v>
      </c>
      <c r="F257" s="31">
        <v>0</v>
      </c>
      <c r="G257" s="31">
        <v>1</v>
      </c>
      <c r="H257" s="31">
        <v>1</v>
      </c>
    </row>
    <row r="258" spans="1:8" x14ac:dyDescent="0.2">
      <c r="A258" t="s">
        <v>723</v>
      </c>
      <c r="B258" t="s">
        <v>1775</v>
      </c>
      <c r="C258" t="s">
        <v>1639</v>
      </c>
      <c r="D258" t="s">
        <v>1773</v>
      </c>
      <c r="E258" s="31">
        <v>4</v>
      </c>
      <c r="F258" s="31">
        <v>0</v>
      </c>
      <c r="G258" s="31">
        <v>0</v>
      </c>
      <c r="H258" s="31">
        <v>4</v>
      </c>
    </row>
    <row r="259" spans="1:8" x14ac:dyDescent="0.2">
      <c r="A259" t="s">
        <v>724</v>
      </c>
      <c r="B259" t="s">
        <v>232</v>
      </c>
      <c r="C259" t="s">
        <v>1639</v>
      </c>
      <c r="D259" t="s">
        <v>1773</v>
      </c>
      <c r="E259" s="31">
        <v>616</v>
      </c>
      <c r="F259" s="31">
        <v>0</v>
      </c>
      <c r="G259" s="31">
        <v>0</v>
      </c>
      <c r="H259" s="31">
        <v>616</v>
      </c>
    </row>
    <row r="260" spans="1:8" x14ac:dyDescent="0.2">
      <c r="A260" t="s">
        <v>726</v>
      </c>
      <c r="B260" t="s">
        <v>1800</v>
      </c>
      <c r="C260" t="s">
        <v>1</v>
      </c>
      <c r="D260" t="s">
        <v>1773</v>
      </c>
      <c r="E260" s="31">
        <v>10</v>
      </c>
      <c r="F260" s="31">
        <v>0</v>
      </c>
      <c r="G260" s="31">
        <v>0</v>
      </c>
      <c r="H260" s="31">
        <v>10</v>
      </c>
    </row>
    <row r="261" spans="1:8" x14ac:dyDescent="0.2">
      <c r="A261" t="s">
        <v>726</v>
      </c>
      <c r="B261" t="s">
        <v>1800</v>
      </c>
      <c r="C261" t="s">
        <v>1</v>
      </c>
      <c r="D261" t="s">
        <v>1774</v>
      </c>
      <c r="E261" s="31">
        <v>2</v>
      </c>
      <c r="F261" s="31">
        <v>0</v>
      </c>
      <c r="G261" s="31">
        <v>0</v>
      </c>
      <c r="H261" s="31">
        <v>2</v>
      </c>
    </row>
    <row r="262" spans="1:8" x14ac:dyDescent="0.2">
      <c r="A262" t="s">
        <v>726</v>
      </c>
      <c r="B262" t="s">
        <v>1800</v>
      </c>
      <c r="C262" t="s">
        <v>1639</v>
      </c>
      <c r="D262" t="s">
        <v>1773</v>
      </c>
      <c r="E262" s="31">
        <v>90</v>
      </c>
      <c r="F262" s="31">
        <v>0</v>
      </c>
      <c r="G262" s="31">
        <v>0</v>
      </c>
      <c r="H262" s="31">
        <v>90</v>
      </c>
    </row>
    <row r="263" spans="1:8" x14ac:dyDescent="0.2">
      <c r="A263" t="s">
        <v>727</v>
      </c>
      <c r="B263" t="s">
        <v>240</v>
      </c>
      <c r="C263" t="s">
        <v>1639</v>
      </c>
      <c r="D263" t="s">
        <v>1773</v>
      </c>
      <c r="E263" s="31">
        <v>115</v>
      </c>
      <c r="F263" s="31">
        <v>0</v>
      </c>
      <c r="G263" s="31">
        <v>0</v>
      </c>
      <c r="H263" s="31">
        <v>115</v>
      </c>
    </row>
    <row r="264" spans="1:8" x14ac:dyDescent="0.2">
      <c r="A264" t="s">
        <v>728</v>
      </c>
      <c r="B264" t="s">
        <v>1775</v>
      </c>
      <c r="C264" t="s">
        <v>1</v>
      </c>
      <c r="D264" t="s">
        <v>1774</v>
      </c>
      <c r="E264" s="31">
        <v>0</v>
      </c>
      <c r="F264" s="31">
        <v>20</v>
      </c>
      <c r="G264" s="31">
        <v>3</v>
      </c>
      <c r="H264" s="31">
        <v>23</v>
      </c>
    </row>
    <row r="265" spans="1:8" x14ac:dyDescent="0.2">
      <c r="A265" t="s">
        <v>1552</v>
      </c>
      <c r="B265" t="s">
        <v>232</v>
      </c>
      <c r="C265" t="s">
        <v>1</v>
      </c>
      <c r="D265" t="s">
        <v>1773</v>
      </c>
      <c r="E265" s="31">
        <v>15</v>
      </c>
      <c r="F265" s="31">
        <v>0</v>
      </c>
      <c r="G265" s="31">
        <v>0</v>
      </c>
      <c r="H265" s="31">
        <v>15</v>
      </c>
    </row>
    <row r="266" spans="1:8" x14ac:dyDescent="0.2">
      <c r="A266" t="s">
        <v>1552</v>
      </c>
      <c r="B266" t="s">
        <v>232</v>
      </c>
      <c r="C266" t="s">
        <v>1</v>
      </c>
      <c r="D266" t="s">
        <v>1774</v>
      </c>
      <c r="E266" s="31">
        <v>0</v>
      </c>
      <c r="F266" s="31">
        <v>0</v>
      </c>
      <c r="G266" s="31">
        <v>1</v>
      </c>
      <c r="H266" s="31">
        <v>1</v>
      </c>
    </row>
    <row r="267" spans="1:8" x14ac:dyDescent="0.2">
      <c r="A267" t="s">
        <v>1554</v>
      </c>
      <c r="B267" t="s">
        <v>1800</v>
      </c>
      <c r="C267" t="s">
        <v>1639</v>
      </c>
      <c r="D267" t="s">
        <v>1773</v>
      </c>
      <c r="E267" s="31">
        <v>1</v>
      </c>
      <c r="F267" s="31">
        <v>0</v>
      </c>
      <c r="G267" s="31">
        <v>0</v>
      </c>
      <c r="H267" s="31">
        <v>1</v>
      </c>
    </row>
    <row r="268" spans="1:8" x14ac:dyDescent="0.2">
      <c r="A268" t="s">
        <v>1555</v>
      </c>
      <c r="B268" t="s">
        <v>240</v>
      </c>
      <c r="C268" t="s">
        <v>1</v>
      </c>
      <c r="D268" t="s">
        <v>1773</v>
      </c>
      <c r="E268" s="31">
        <v>102</v>
      </c>
      <c r="F268" s="31">
        <v>0</v>
      </c>
      <c r="G268" s="31">
        <v>0</v>
      </c>
      <c r="H268" s="31">
        <v>102</v>
      </c>
    </row>
    <row r="269" spans="1:8" x14ac:dyDescent="0.2">
      <c r="A269" t="s">
        <v>1556</v>
      </c>
      <c r="B269" t="s">
        <v>1775</v>
      </c>
      <c r="C269" t="s">
        <v>1</v>
      </c>
      <c r="D269" t="s">
        <v>1773</v>
      </c>
      <c r="E269" s="31">
        <v>111</v>
      </c>
      <c r="F269" s="31">
        <v>0</v>
      </c>
      <c r="G269" s="31">
        <v>0</v>
      </c>
      <c r="H269" s="31">
        <v>111</v>
      </c>
    </row>
    <row r="270" spans="1:8" x14ac:dyDescent="0.2">
      <c r="A270" t="s">
        <v>1556</v>
      </c>
      <c r="B270" t="s">
        <v>1775</v>
      </c>
      <c r="C270" t="s">
        <v>1639</v>
      </c>
      <c r="D270" t="s">
        <v>1773</v>
      </c>
      <c r="E270" s="31">
        <v>2</v>
      </c>
      <c r="F270" s="31">
        <v>0</v>
      </c>
      <c r="G270" s="31">
        <v>0</v>
      </c>
      <c r="H270" s="31">
        <v>2</v>
      </c>
    </row>
    <row r="271" spans="1:8" x14ac:dyDescent="0.2">
      <c r="A271" t="s">
        <v>729</v>
      </c>
      <c r="B271" t="s">
        <v>241</v>
      </c>
      <c r="C271" t="s">
        <v>1</v>
      </c>
      <c r="D271" t="s">
        <v>1774</v>
      </c>
      <c r="E271" s="31">
        <v>1</v>
      </c>
      <c r="F271" s="31">
        <v>0</v>
      </c>
      <c r="G271" s="31">
        <v>0</v>
      </c>
      <c r="H271" s="31">
        <v>1</v>
      </c>
    </row>
    <row r="272" spans="1:8" x14ac:dyDescent="0.2">
      <c r="A272" t="s">
        <v>729</v>
      </c>
      <c r="B272" t="s">
        <v>241</v>
      </c>
      <c r="C272" t="s">
        <v>1639</v>
      </c>
      <c r="D272" t="s">
        <v>1773</v>
      </c>
      <c r="E272" s="31">
        <v>26</v>
      </c>
      <c r="F272" s="31">
        <v>1</v>
      </c>
      <c r="G272" s="31">
        <v>0</v>
      </c>
      <c r="H272" s="31">
        <v>27</v>
      </c>
    </row>
    <row r="273" spans="1:8" x14ac:dyDescent="0.2">
      <c r="A273" t="s">
        <v>730</v>
      </c>
      <c r="B273" t="s">
        <v>229</v>
      </c>
      <c r="C273" t="s">
        <v>1</v>
      </c>
      <c r="D273" t="s">
        <v>1773</v>
      </c>
      <c r="E273" s="31">
        <v>1</v>
      </c>
      <c r="F273" s="31">
        <v>0</v>
      </c>
      <c r="G273" s="31">
        <v>0</v>
      </c>
      <c r="H273" s="31">
        <v>1</v>
      </c>
    </row>
    <row r="274" spans="1:8" x14ac:dyDescent="0.2">
      <c r="A274" t="s">
        <v>730</v>
      </c>
      <c r="B274" t="s">
        <v>229</v>
      </c>
      <c r="C274" t="s">
        <v>1</v>
      </c>
      <c r="D274" t="s">
        <v>1774</v>
      </c>
      <c r="E274" s="31">
        <v>0</v>
      </c>
      <c r="F274" s="31">
        <v>0</v>
      </c>
      <c r="G274" s="31">
        <v>1</v>
      </c>
      <c r="H274" s="31">
        <v>1</v>
      </c>
    </row>
    <row r="275" spans="1:8" x14ac:dyDescent="0.2">
      <c r="A275" t="s">
        <v>730</v>
      </c>
      <c r="B275" t="s">
        <v>229</v>
      </c>
      <c r="C275" t="s">
        <v>1639</v>
      </c>
      <c r="D275" t="s">
        <v>1773</v>
      </c>
      <c r="E275" s="31">
        <v>5</v>
      </c>
      <c r="F275" s="31">
        <v>0</v>
      </c>
      <c r="G275" s="31">
        <v>0</v>
      </c>
      <c r="H275" s="31">
        <v>5</v>
      </c>
    </row>
    <row r="276" spans="1:8" x14ac:dyDescent="0.2">
      <c r="A276" t="s">
        <v>1557</v>
      </c>
      <c r="B276" t="s">
        <v>241</v>
      </c>
      <c r="C276" t="s">
        <v>1</v>
      </c>
      <c r="D276" t="s">
        <v>1773</v>
      </c>
      <c r="E276" s="31">
        <v>402</v>
      </c>
      <c r="F276" s="31">
        <v>0</v>
      </c>
      <c r="G276" s="31">
        <v>0</v>
      </c>
      <c r="H276" s="31">
        <v>402</v>
      </c>
    </row>
    <row r="277" spans="1:8" x14ac:dyDescent="0.2">
      <c r="A277" t="s">
        <v>1559</v>
      </c>
      <c r="B277" t="s">
        <v>241</v>
      </c>
      <c r="C277" t="s">
        <v>1</v>
      </c>
      <c r="D277" t="s">
        <v>1773</v>
      </c>
      <c r="E277" s="31">
        <v>2</v>
      </c>
      <c r="F277" s="31">
        <v>0</v>
      </c>
      <c r="G277" s="31">
        <v>0</v>
      </c>
      <c r="H277" s="31">
        <v>2</v>
      </c>
    </row>
    <row r="278" spans="1:8" x14ac:dyDescent="0.2">
      <c r="A278" t="s">
        <v>1559</v>
      </c>
      <c r="B278" t="s">
        <v>241</v>
      </c>
      <c r="C278" t="s">
        <v>1</v>
      </c>
      <c r="D278" t="s">
        <v>1774</v>
      </c>
      <c r="E278" s="31">
        <v>0</v>
      </c>
      <c r="F278" s="31">
        <v>0</v>
      </c>
      <c r="G278" s="31">
        <v>1</v>
      </c>
      <c r="H278" s="31">
        <v>1</v>
      </c>
    </row>
    <row r="279" spans="1:8" x14ac:dyDescent="0.2">
      <c r="A279" t="s">
        <v>1559</v>
      </c>
      <c r="B279" t="s">
        <v>241</v>
      </c>
      <c r="C279" t="s">
        <v>1639</v>
      </c>
      <c r="D279" t="s">
        <v>1773</v>
      </c>
      <c r="E279" s="31">
        <v>3</v>
      </c>
      <c r="F279" s="31">
        <v>0</v>
      </c>
      <c r="G279" s="31">
        <v>0</v>
      </c>
      <c r="H279" s="31">
        <v>3</v>
      </c>
    </row>
    <row r="280" spans="1:8" x14ac:dyDescent="0.2">
      <c r="A280" t="s">
        <v>1560</v>
      </c>
      <c r="B280" t="s">
        <v>229</v>
      </c>
      <c r="C280" t="s">
        <v>1</v>
      </c>
      <c r="D280" t="s">
        <v>1773</v>
      </c>
      <c r="E280" s="31">
        <v>151</v>
      </c>
      <c r="F280" s="31">
        <v>0</v>
      </c>
      <c r="G280" s="31">
        <v>0</v>
      </c>
      <c r="H280" s="31">
        <v>151</v>
      </c>
    </row>
    <row r="281" spans="1:8" x14ac:dyDescent="0.2">
      <c r="A281" t="s">
        <v>1560</v>
      </c>
      <c r="B281" t="s">
        <v>229</v>
      </c>
      <c r="C281" t="s">
        <v>1639</v>
      </c>
      <c r="D281" t="s">
        <v>1773</v>
      </c>
      <c r="E281" s="31">
        <v>549</v>
      </c>
      <c r="F281" s="31">
        <v>0</v>
      </c>
      <c r="G281" s="31">
        <v>0</v>
      </c>
      <c r="H281" s="31">
        <v>549</v>
      </c>
    </row>
    <row r="282" spans="1:8" x14ac:dyDescent="0.2">
      <c r="A282" t="s">
        <v>731</v>
      </c>
      <c r="B282" t="s">
        <v>241</v>
      </c>
      <c r="C282" t="s">
        <v>1</v>
      </c>
      <c r="D282" t="s">
        <v>1773</v>
      </c>
      <c r="E282" s="31">
        <v>12</v>
      </c>
      <c r="F282" s="31">
        <v>0</v>
      </c>
      <c r="G282" s="31">
        <v>0</v>
      </c>
      <c r="H282" s="31">
        <v>12</v>
      </c>
    </row>
    <row r="283" spans="1:8" x14ac:dyDescent="0.2">
      <c r="A283" t="s">
        <v>731</v>
      </c>
      <c r="B283" t="s">
        <v>241</v>
      </c>
      <c r="C283" t="s">
        <v>1</v>
      </c>
      <c r="D283" t="s">
        <v>1774</v>
      </c>
      <c r="E283" s="31">
        <v>2</v>
      </c>
      <c r="F283" s="31">
        <v>0</v>
      </c>
      <c r="G283" s="31">
        <v>1</v>
      </c>
      <c r="H283" s="31">
        <v>3</v>
      </c>
    </row>
    <row r="284" spans="1:8" x14ac:dyDescent="0.2">
      <c r="A284" t="s">
        <v>731</v>
      </c>
      <c r="B284" t="s">
        <v>241</v>
      </c>
      <c r="C284" t="s">
        <v>1639</v>
      </c>
      <c r="D284" t="s">
        <v>1773</v>
      </c>
      <c r="E284" s="31">
        <v>835</v>
      </c>
      <c r="F284" s="31">
        <v>0</v>
      </c>
      <c r="G284" s="31">
        <v>0</v>
      </c>
      <c r="H284" s="31">
        <v>835</v>
      </c>
    </row>
    <row r="285" spans="1:8" x14ac:dyDescent="0.2">
      <c r="A285" t="s">
        <v>732</v>
      </c>
      <c r="B285" t="s">
        <v>229</v>
      </c>
      <c r="C285" t="s">
        <v>1</v>
      </c>
      <c r="D285" t="s">
        <v>1774</v>
      </c>
      <c r="E285" s="31">
        <v>675</v>
      </c>
      <c r="F285" s="31">
        <v>0</v>
      </c>
      <c r="G285" s="31">
        <v>0</v>
      </c>
      <c r="H285" s="31">
        <v>675</v>
      </c>
    </row>
    <row r="286" spans="1:8" x14ac:dyDescent="0.2">
      <c r="A286" t="s">
        <v>732</v>
      </c>
      <c r="B286" t="s">
        <v>229</v>
      </c>
      <c r="C286" t="s">
        <v>1639</v>
      </c>
      <c r="D286" t="s">
        <v>1773</v>
      </c>
      <c r="E286" s="31">
        <v>263</v>
      </c>
      <c r="F286" s="31">
        <v>0</v>
      </c>
      <c r="G286" s="31">
        <v>0</v>
      </c>
      <c r="H286" s="31">
        <v>263</v>
      </c>
    </row>
    <row r="287" spans="1:8" x14ac:dyDescent="0.2">
      <c r="A287" t="s">
        <v>1868</v>
      </c>
      <c r="B287" t="s">
        <v>737</v>
      </c>
      <c r="C287" t="s">
        <v>1</v>
      </c>
      <c r="D287" t="s">
        <v>1773</v>
      </c>
      <c r="E287" s="31">
        <v>97</v>
      </c>
      <c r="F287" s="31">
        <v>0</v>
      </c>
      <c r="G287" s="31">
        <v>0</v>
      </c>
      <c r="H287" s="31">
        <v>97</v>
      </c>
    </row>
    <row r="288" spans="1:8" x14ac:dyDescent="0.2">
      <c r="A288" t="s">
        <v>1868</v>
      </c>
      <c r="B288" t="s">
        <v>737</v>
      </c>
      <c r="C288" t="s">
        <v>1</v>
      </c>
      <c r="D288" t="s">
        <v>1774</v>
      </c>
      <c r="E288" s="31">
        <v>0</v>
      </c>
      <c r="F288" s="31">
        <v>4</v>
      </c>
      <c r="G288" s="31">
        <v>0</v>
      </c>
      <c r="H288" s="31">
        <v>4</v>
      </c>
    </row>
    <row r="289" spans="1:8" x14ac:dyDescent="0.2">
      <c r="A289" t="s">
        <v>740</v>
      </c>
      <c r="B289" t="s">
        <v>741</v>
      </c>
      <c r="C289" t="s">
        <v>1</v>
      </c>
      <c r="E289" s="31">
        <v>0</v>
      </c>
      <c r="F289" s="31">
        <v>0</v>
      </c>
      <c r="G289" s="31">
        <v>16</v>
      </c>
      <c r="H289" s="31">
        <v>16</v>
      </c>
    </row>
    <row r="290" spans="1:8" x14ac:dyDescent="0.2">
      <c r="A290" t="s">
        <v>1922</v>
      </c>
      <c r="B290" t="s">
        <v>741</v>
      </c>
      <c r="C290" t="s">
        <v>1</v>
      </c>
      <c r="D290" t="s">
        <v>1774</v>
      </c>
      <c r="E290" s="31">
        <v>279</v>
      </c>
      <c r="F290" s="31">
        <v>0</v>
      </c>
      <c r="G290" s="31">
        <v>0</v>
      </c>
      <c r="H290" s="31">
        <v>279</v>
      </c>
    </row>
    <row r="291" spans="1:8" x14ac:dyDescent="0.2">
      <c r="A291" t="s">
        <v>742</v>
      </c>
      <c r="B291" t="s">
        <v>743</v>
      </c>
      <c r="C291" t="s">
        <v>1</v>
      </c>
      <c r="D291" t="s">
        <v>1774</v>
      </c>
      <c r="E291" s="31">
        <v>0</v>
      </c>
      <c r="F291" s="31">
        <v>0</v>
      </c>
      <c r="G291" s="31">
        <v>1</v>
      </c>
      <c r="H291" s="31">
        <v>1</v>
      </c>
    </row>
    <row r="292" spans="1:8" x14ac:dyDescent="0.2">
      <c r="A292" t="s">
        <v>1619</v>
      </c>
      <c r="B292" t="s">
        <v>743</v>
      </c>
      <c r="C292" t="s">
        <v>1</v>
      </c>
      <c r="E292" s="31">
        <v>0</v>
      </c>
      <c r="F292" s="31">
        <v>0</v>
      </c>
      <c r="G292" s="31">
        <v>3</v>
      </c>
      <c r="H292" s="31">
        <v>3</v>
      </c>
    </row>
    <row r="293" spans="1:8" x14ac:dyDescent="0.2">
      <c r="A293" t="s">
        <v>1619</v>
      </c>
      <c r="B293" t="s">
        <v>743</v>
      </c>
      <c r="C293" t="s">
        <v>1639</v>
      </c>
      <c r="D293" t="s">
        <v>1773</v>
      </c>
      <c r="E293" s="31">
        <v>754</v>
      </c>
      <c r="F293" s="31">
        <v>0</v>
      </c>
      <c r="G293" s="31">
        <v>0</v>
      </c>
      <c r="H293" s="31">
        <v>754</v>
      </c>
    </row>
    <row r="294" spans="1:8" x14ac:dyDescent="0.2">
      <c r="A294" t="s">
        <v>1923</v>
      </c>
      <c r="B294" t="s">
        <v>743</v>
      </c>
      <c r="C294" t="s">
        <v>1</v>
      </c>
      <c r="D294" t="s">
        <v>1774</v>
      </c>
      <c r="E294" s="31">
        <v>590</v>
      </c>
      <c r="F294" s="31">
        <v>0</v>
      </c>
      <c r="G294" s="31">
        <v>0</v>
      </c>
      <c r="H294" s="31">
        <v>590</v>
      </c>
    </row>
    <row r="295" spans="1:8" x14ac:dyDescent="0.2">
      <c r="A295" t="s">
        <v>1620</v>
      </c>
      <c r="B295" t="s">
        <v>745</v>
      </c>
      <c r="C295" t="s">
        <v>1</v>
      </c>
      <c r="D295" t="s">
        <v>1774</v>
      </c>
      <c r="E295" s="31">
        <v>10</v>
      </c>
      <c r="F295" s="31">
        <v>10</v>
      </c>
      <c r="G295" s="31">
        <v>0</v>
      </c>
      <c r="H295" s="31">
        <v>20</v>
      </c>
    </row>
    <row r="296" spans="1:8" x14ac:dyDescent="0.2">
      <c r="A296" t="s">
        <v>1620</v>
      </c>
      <c r="B296" t="s">
        <v>745</v>
      </c>
      <c r="C296" t="s">
        <v>1639</v>
      </c>
      <c r="D296" t="s">
        <v>1773</v>
      </c>
      <c r="E296" s="31">
        <v>387</v>
      </c>
      <c r="F296" s="31">
        <v>0</v>
      </c>
      <c r="G296" s="31">
        <v>0</v>
      </c>
      <c r="H296" s="31">
        <v>387</v>
      </c>
    </row>
    <row r="297" spans="1:8" x14ac:dyDescent="0.2">
      <c r="A297" t="s">
        <v>1621</v>
      </c>
      <c r="B297" t="s">
        <v>747</v>
      </c>
      <c r="C297" t="s">
        <v>1</v>
      </c>
      <c r="D297" t="s">
        <v>1774</v>
      </c>
      <c r="E297" s="31">
        <v>0</v>
      </c>
      <c r="F297" s="31">
        <v>0</v>
      </c>
      <c r="G297" s="31">
        <v>2</v>
      </c>
      <c r="H297" s="31">
        <v>2</v>
      </c>
    </row>
    <row r="298" spans="1:8" x14ac:dyDescent="0.2">
      <c r="A298" t="s">
        <v>1621</v>
      </c>
      <c r="B298" t="s">
        <v>747</v>
      </c>
      <c r="C298" t="s">
        <v>1639</v>
      </c>
      <c r="D298" t="s">
        <v>1773</v>
      </c>
      <c r="E298" s="31">
        <v>487</v>
      </c>
      <c r="F298" s="31">
        <v>0</v>
      </c>
      <c r="G298" s="31">
        <v>0</v>
      </c>
      <c r="H298" s="31">
        <v>487</v>
      </c>
    </row>
    <row r="299" spans="1:8" x14ac:dyDescent="0.2">
      <c r="A299" t="s">
        <v>748</v>
      </c>
      <c r="B299" t="s">
        <v>1817</v>
      </c>
      <c r="C299" t="s">
        <v>1</v>
      </c>
      <c r="D299" t="s">
        <v>1774</v>
      </c>
      <c r="E299" s="31">
        <v>1</v>
      </c>
      <c r="F299" s="31">
        <v>0</v>
      </c>
      <c r="G299" s="31">
        <v>0</v>
      </c>
      <c r="H299" s="31">
        <v>1</v>
      </c>
    </row>
    <row r="300" spans="1:8" x14ac:dyDescent="0.2">
      <c r="A300" t="s">
        <v>749</v>
      </c>
      <c r="B300" t="s">
        <v>1764</v>
      </c>
      <c r="C300" t="s">
        <v>1</v>
      </c>
      <c r="D300" t="s">
        <v>1774</v>
      </c>
      <c r="E300" s="31">
        <v>0</v>
      </c>
      <c r="F300" s="31">
        <v>0</v>
      </c>
      <c r="G300" s="31">
        <v>1</v>
      </c>
      <c r="H300" s="31">
        <v>1</v>
      </c>
    </row>
    <row r="301" spans="1:8" x14ac:dyDescent="0.2">
      <c r="A301" t="s">
        <v>752</v>
      </c>
      <c r="B301" t="s">
        <v>1795</v>
      </c>
      <c r="C301" t="s">
        <v>1</v>
      </c>
      <c r="D301" t="s">
        <v>1773</v>
      </c>
      <c r="E301" s="31">
        <v>101</v>
      </c>
      <c r="F301" s="31">
        <v>0</v>
      </c>
      <c r="G301" s="31">
        <v>0</v>
      </c>
      <c r="H301" s="31">
        <v>101</v>
      </c>
    </row>
    <row r="302" spans="1:8" x14ac:dyDescent="0.2">
      <c r="A302" t="s">
        <v>753</v>
      </c>
      <c r="B302" t="s">
        <v>1795</v>
      </c>
      <c r="C302" t="s">
        <v>1639</v>
      </c>
      <c r="D302" t="s">
        <v>1773</v>
      </c>
      <c r="E302" s="31">
        <v>23</v>
      </c>
      <c r="F302" s="31">
        <v>0</v>
      </c>
      <c r="G302" s="31">
        <v>0</v>
      </c>
      <c r="H302" s="31">
        <v>23</v>
      </c>
    </row>
    <row r="303" spans="1:8" x14ac:dyDescent="0.2">
      <c r="A303" t="s">
        <v>754</v>
      </c>
      <c r="B303" t="s">
        <v>1795</v>
      </c>
      <c r="C303" t="s">
        <v>1</v>
      </c>
      <c r="D303" t="s">
        <v>1773</v>
      </c>
      <c r="E303" s="31">
        <v>84</v>
      </c>
      <c r="F303" s="31">
        <v>0</v>
      </c>
      <c r="G303" s="31">
        <v>0</v>
      </c>
      <c r="H303" s="31">
        <v>84</v>
      </c>
    </row>
    <row r="304" spans="1:8" x14ac:dyDescent="0.2">
      <c r="A304" t="s">
        <v>757</v>
      </c>
      <c r="B304" t="s">
        <v>690</v>
      </c>
      <c r="C304" t="s">
        <v>1</v>
      </c>
      <c r="D304" t="s">
        <v>1773</v>
      </c>
      <c r="E304" s="31">
        <v>93</v>
      </c>
      <c r="F304" s="31">
        <v>0</v>
      </c>
      <c r="G304" s="31">
        <v>0</v>
      </c>
      <c r="H304" s="31">
        <v>93</v>
      </c>
    </row>
    <row r="305" spans="1:8" x14ac:dyDescent="0.2">
      <c r="A305" t="s">
        <v>759</v>
      </c>
      <c r="B305" t="s">
        <v>690</v>
      </c>
      <c r="C305" t="s">
        <v>1</v>
      </c>
      <c r="D305" t="s">
        <v>1773</v>
      </c>
      <c r="E305" s="31">
        <v>92</v>
      </c>
      <c r="F305" s="31">
        <v>0</v>
      </c>
      <c r="G305" s="31">
        <v>0</v>
      </c>
      <c r="H305" s="31">
        <v>92</v>
      </c>
    </row>
    <row r="306" spans="1:8" x14ac:dyDescent="0.2">
      <c r="A306" t="s">
        <v>768</v>
      </c>
      <c r="B306" t="s">
        <v>626</v>
      </c>
      <c r="C306" t="s">
        <v>1</v>
      </c>
      <c r="D306" t="s">
        <v>1774</v>
      </c>
      <c r="E306" s="31">
        <v>0</v>
      </c>
      <c r="F306" s="31">
        <v>0</v>
      </c>
      <c r="G306" s="31">
        <v>1</v>
      </c>
      <c r="H306" s="31">
        <v>1</v>
      </c>
    </row>
    <row r="307" spans="1:8" x14ac:dyDescent="0.2">
      <c r="A307" t="s">
        <v>769</v>
      </c>
      <c r="B307" t="s">
        <v>708</v>
      </c>
      <c r="C307" t="s">
        <v>1</v>
      </c>
      <c r="D307" t="s">
        <v>1773</v>
      </c>
      <c r="E307" s="31">
        <v>1</v>
      </c>
      <c r="F307" s="31">
        <v>0</v>
      </c>
      <c r="G307" s="31">
        <v>0</v>
      </c>
      <c r="H307" s="31">
        <v>1</v>
      </c>
    </row>
    <row r="308" spans="1:8" x14ac:dyDescent="0.2">
      <c r="A308" t="s">
        <v>770</v>
      </c>
      <c r="B308" t="s">
        <v>626</v>
      </c>
      <c r="C308" t="s">
        <v>1</v>
      </c>
      <c r="D308" t="s">
        <v>1773</v>
      </c>
      <c r="E308" s="31">
        <v>10</v>
      </c>
      <c r="F308" s="31">
        <v>0</v>
      </c>
      <c r="G308" s="31">
        <v>0</v>
      </c>
      <c r="H308" s="31">
        <v>10</v>
      </c>
    </row>
    <row r="309" spans="1:8" x14ac:dyDescent="0.2">
      <c r="A309" t="s">
        <v>773</v>
      </c>
      <c r="B309" t="s">
        <v>772</v>
      </c>
      <c r="C309" t="s">
        <v>1639</v>
      </c>
      <c r="D309" t="s">
        <v>1773</v>
      </c>
      <c r="E309" s="31">
        <v>10</v>
      </c>
      <c r="F309" s="31">
        <v>0</v>
      </c>
      <c r="G309" s="31">
        <v>0</v>
      </c>
      <c r="H309" s="31">
        <v>10</v>
      </c>
    </row>
    <row r="310" spans="1:8" x14ac:dyDescent="0.2">
      <c r="A310" t="s">
        <v>779</v>
      </c>
      <c r="B310" t="s">
        <v>776</v>
      </c>
      <c r="C310" t="s">
        <v>1639</v>
      </c>
      <c r="D310" t="s">
        <v>1773</v>
      </c>
      <c r="E310" s="31">
        <v>385</v>
      </c>
      <c r="F310" s="31">
        <v>0</v>
      </c>
      <c r="G310" s="31">
        <v>0</v>
      </c>
      <c r="H310" s="31">
        <v>385</v>
      </c>
    </row>
    <row r="311" spans="1:8" x14ac:dyDescent="0.2">
      <c r="A311" t="s">
        <v>783</v>
      </c>
      <c r="B311" t="s">
        <v>1912</v>
      </c>
      <c r="C311" t="s">
        <v>1639</v>
      </c>
      <c r="D311" t="s">
        <v>1773</v>
      </c>
      <c r="E311" s="31">
        <v>204</v>
      </c>
      <c r="F311" s="31">
        <v>0</v>
      </c>
      <c r="G311" s="31">
        <v>0</v>
      </c>
      <c r="H311" s="31">
        <v>204</v>
      </c>
    </row>
    <row r="312" spans="1:8" x14ac:dyDescent="0.2">
      <c r="A312" t="s">
        <v>1892</v>
      </c>
      <c r="B312" t="s">
        <v>1893</v>
      </c>
      <c r="C312" t="s">
        <v>1</v>
      </c>
      <c r="D312" t="s">
        <v>1773</v>
      </c>
      <c r="E312" s="31">
        <v>120</v>
      </c>
      <c r="F312" s="31">
        <v>0</v>
      </c>
      <c r="G312" s="31">
        <v>0</v>
      </c>
      <c r="H312" s="31">
        <v>120</v>
      </c>
    </row>
    <row r="313" spans="1:8" x14ac:dyDescent="0.2">
      <c r="A313" t="s">
        <v>791</v>
      </c>
      <c r="B313" t="s">
        <v>790</v>
      </c>
      <c r="C313" t="s">
        <v>1</v>
      </c>
      <c r="D313" t="s">
        <v>1774</v>
      </c>
      <c r="E313" s="31">
        <v>8</v>
      </c>
      <c r="F313" s="31">
        <v>0</v>
      </c>
      <c r="G313" s="31">
        <v>0</v>
      </c>
      <c r="H313" s="31">
        <v>8</v>
      </c>
    </row>
    <row r="314" spans="1:8" x14ac:dyDescent="0.2">
      <c r="A314" t="s">
        <v>793</v>
      </c>
      <c r="B314" t="s">
        <v>790</v>
      </c>
      <c r="C314" t="s">
        <v>1</v>
      </c>
      <c r="D314" t="s">
        <v>1774</v>
      </c>
      <c r="E314" s="31">
        <v>1</v>
      </c>
      <c r="F314" s="31">
        <v>0</v>
      </c>
      <c r="G314" s="31">
        <v>0</v>
      </c>
      <c r="H314" s="31">
        <v>1</v>
      </c>
    </row>
    <row r="315" spans="1:8" x14ac:dyDescent="0.2">
      <c r="A315" t="s">
        <v>793</v>
      </c>
      <c r="B315" t="s">
        <v>790</v>
      </c>
      <c r="C315" t="s">
        <v>1639</v>
      </c>
      <c r="D315" t="s">
        <v>1773</v>
      </c>
      <c r="E315" s="31">
        <v>168</v>
      </c>
      <c r="F315" s="31">
        <v>0</v>
      </c>
      <c r="G315" s="31">
        <v>0</v>
      </c>
      <c r="H315" s="31">
        <v>168</v>
      </c>
    </row>
    <row r="316" spans="1:8" x14ac:dyDescent="0.2">
      <c r="A316" t="s">
        <v>1598</v>
      </c>
      <c r="B316" t="s">
        <v>254</v>
      </c>
      <c r="C316" t="s">
        <v>1</v>
      </c>
      <c r="D316" t="s">
        <v>1774</v>
      </c>
      <c r="E316" s="31">
        <v>202</v>
      </c>
      <c r="F316" s="31">
        <v>4</v>
      </c>
      <c r="G316" s="31">
        <v>0</v>
      </c>
      <c r="H316" s="31">
        <v>206</v>
      </c>
    </row>
    <row r="317" spans="1:8" x14ac:dyDescent="0.2">
      <c r="A317" t="s">
        <v>800</v>
      </c>
      <c r="B317" t="s">
        <v>801</v>
      </c>
      <c r="C317" t="s">
        <v>1</v>
      </c>
      <c r="D317" t="s">
        <v>1773</v>
      </c>
      <c r="E317" s="31">
        <v>270</v>
      </c>
      <c r="F317" s="31">
        <v>0</v>
      </c>
      <c r="G317" s="31">
        <v>0</v>
      </c>
      <c r="H317" s="31">
        <v>270</v>
      </c>
    </row>
    <row r="318" spans="1:8" x14ac:dyDescent="0.2">
      <c r="A318" t="s">
        <v>800</v>
      </c>
      <c r="B318" t="s">
        <v>801</v>
      </c>
      <c r="C318" t="s">
        <v>1</v>
      </c>
      <c r="D318" t="s">
        <v>1774</v>
      </c>
      <c r="E318" s="31">
        <v>183</v>
      </c>
      <c r="F318" s="31">
        <v>0</v>
      </c>
      <c r="G318" s="31">
        <v>1</v>
      </c>
      <c r="H318" s="31">
        <v>184</v>
      </c>
    </row>
    <row r="319" spans="1:8" x14ac:dyDescent="0.2">
      <c r="A319" t="s">
        <v>811</v>
      </c>
      <c r="B319" t="s">
        <v>810</v>
      </c>
      <c r="C319" t="s">
        <v>1</v>
      </c>
      <c r="D319" t="s">
        <v>1774</v>
      </c>
      <c r="E319" s="31">
        <v>0</v>
      </c>
      <c r="F319" s="31">
        <v>11</v>
      </c>
      <c r="G319" s="31">
        <v>0</v>
      </c>
      <c r="H319" s="31">
        <v>11</v>
      </c>
    </row>
    <row r="320" spans="1:8" x14ac:dyDescent="0.2">
      <c r="A320" t="s">
        <v>1798</v>
      </c>
      <c r="B320" t="s">
        <v>823</v>
      </c>
      <c r="C320" t="s">
        <v>1</v>
      </c>
      <c r="D320" t="s">
        <v>1773</v>
      </c>
      <c r="E320" s="31">
        <v>5</v>
      </c>
      <c r="F320" s="31">
        <v>0</v>
      </c>
      <c r="G320" s="31">
        <v>0</v>
      </c>
      <c r="H320" s="31">
        <v>5</v>
      </c>
    </row>
    <row r="321" spans="1:8" x14ac:dyDescent="0.2">
      <c r="A321" t="s">
        <v>1798</v>
      </c>
      <c r="B321" t="s">
        <v>823</v>
      </c>
      <c r="C321" t="s">
        <v>1</v>
      </c>
      <c r="D321" t="s">
        <v>1774</v>
      </c>
      <c r="E321" s="31">
        <v>1</v>
      </c>
      <c r="F321" s="31">
        <v>0</v>
      </c>
      <c r="G321" s="31">
        <v>0</v>
      </c>
      <c r="H321" s="31">
        <v>1</v>
      </c>
    </row>
    <row r="322" spans="1:8" x14ac:dyDescent="0.2">
      <c r="A322" t="s">
        <v>1798</v>
      </c>
      <c r="B322" t="s">
        <v>823</v>
      </c>
      <c r="C322" t="s">
        <v>1639</v>
      </c>
      <c r="D322" t="s">
        <v>1773</v>
      </c>
      <c r="E322" s="31">
        <v>470</v>
      </c>
      <c r="F322" s="31">
        <v>0</v>
      </c>
      <c r="G322" s="31">
        <v>0</v>
      </c>
      <c r="H322" s="31">
        <v>470</v>
      </c>
    </row>
    <row r="323" spans="1:8" x14ac:dyDescent="0.2">
      <c r="A323" t="s">
        <v>840</v>
      </c>
      <c r="B323" t="s">
        <v>708</v>
      </c>
      <c r="C323" t="s">
        <v>1639</v>
      </c>
      <c r="D323" t="s">
        <v>1773</v>
      </c>
      <c r="E323" s="31">
        <v>2</v>
      </c>
      <c r="F323" s="31">
        <v>0</v>
      </c>
      <c r="G323" s="31">
        <v>0</v>
      </c>
      <c r="H323" s="31">
        <v>2</v>
      </c>
    </row>
    <row r="324" spans="1:8" x14ac:dyDescent="0.2">
      <c r="A324" t="s">
        <v>841</v>
      </c>
      <c r="B324" t="s">
        <v>626</v>
      </c>
      <c r="C324" t="s">
        <v>1639</v>
      </c>
      <c r="D324" t="s">
        <v>1773</v>
      </c>
      <c r="E324" s="31">
        <v>4</v>
      </c>
      <c r="F324" s="31">
        <v>0</v>
      </c>
      <c r="G324" s="31">
        <v>0</v>
      </c>
      <c r="H324" s="31">
        <v>4</v>
      </c>
    </row>
    <row r="325" spans="1:8" x14ac:dyDescent="0.2">
      <c r="A325" t="s">
        <v>844</v>
      </c>
      <c r="B325" t="s">
        <v>843</v>
      </c>
      <c r="C325" t="s">
        <v>1</v>
      </c>
      <c r="E325" s="31">
        <v>0</v>
      </c>
      <c r="F325" s="31">
        <v>0</v>
      </c>
      <c r="G325" s="31">
        <v>2</v>
      </c>
      <c r="H325" s="31">
        <v>2</v>
      </c>
    </row>
    <row r="326" spans="1:8" x14ac:dyDescent="0.2">
      <c r="A326" t="s">
        <v>1900</v>
      </c>
      <c r="B326" t="s">
        <v>843</v>
      </c>
      <c r="C326" t="s">
        <v>1</v>
      </c>
      <c r="D326" t="s">
        <v>1773</v>
      </c>
      <c r="E326" s="31">
        <v>594</v>
      </c>
      <c r="F326" s="31">
        <v>0</v>
      </c>
      <c r="G326" s="31">
        <v>0</v>
      </c>
      <c r="H326" s="31">
        <v>594</v>
      </c>
    </row>
    <row r="327" spans="1:8" x14ac:dyDescent="0.2">
      <c r="A327" t="s">
        <v>1804</v>
      </c>
      <c r="B327" t="s">
        <v>849</v>
      </c>
      <c r="C327" t="s">
        <v>1639</v>
      </c>
      <c r="D327" t="s">
        <v>1773</v>
      </c>
      <c r="E327" s="31">
        <v>156</v>
      </c>
      <c r="F327" s="31">
        <v>0</v>
      </c>
      <c r="G327" s="31">
        <v>0</v>
      </c>
      <c r="H327" s="31">
        <v>156</v>
      </c>
    </row>
    <row r="328" spans="1:8" x14ac:dyDescent="0.2">
      <c r="A328" t="s">
        <v>853</v>
      </c>
      <c r="B328" t="s">
        <v>852</v>
      </c>
      <c r="C328" t="s">
        <v>1639</v>
      </c>
      <c r="D328" t="s">
        <v>1773</v>
      </c>
      <c r="E328" s="31">
        <v>100</v>
      </c>
      <c r="F328" s="31">
        <v>0</v>
      </c>
      <c r="G328" s="31">
        <v>0</v>
      </c>
      <c r="H328" s="31">
        <v>100</v>
      </c>
    </row>
    <row r="329" spans="1:8" x14ac:dyDescent="0.2">
      <c r="A329" t="s">
        <v>855</v>
      </c>
      <c r="B329" t="s">
        <v>1894</v>
      </c>
      <c r="C329" t="s">
        <v>1639</v>
      </c>
      <c r="D329" t="s">
        <v>1773</v>
      </c>
      <c r="E329" s="31">
        <v>3</v>
      </c>
      <c r="F329" s="31">
        <v>0</v>
      </c>
      <c r="G329" s="31">
        <v>0</v>
      </c>
      <c r="H329" s="31">
        <v>3</v>
      </c>
    </row>
    <row r="330" spans="1:8" x14ac:dyDescent="0.2">
      <c r="A330" t="s">
        <v>1895</v>
      </c>
      <c r="B330" t="s">
        <v>857</v>
      </c>
      <c r="C330" t="s">
        <v>1639</v>
      </c>
      <c r="D330" t="s">
        <v>1773</v>
      </c>
      <c r="E330" s="31">
        <v>453</v>
      </c>
      <c r="F330" s="31">
        <v>0</v>
      </c>
      <c r="G330" s="31">
        <v>0</v>
      </c>
      <c r="H330" s="31">
        <v>453</v>
      </c>
    </row>
    <row r="331" spans="1:8" x14ac:dyDescent="0.2">
      <c r="A331" t="s">
        <v>1622</v>
      </c>
      <c r="B331" t="s">
        <v>1910</v>
      </c>
      <c r="C331" t="s">
        <v>1</v>
      </c>
      <c r="D331" t="s">
        <v>1773</v>
      </c>
      <c r="E331" s="31">
        <v>1</v>
      </c>
      <c r="F331" s="31">
        <v>0</v>
      </c>
      <c r="G331" s="31">
        <v>0</v>
      </c>
      <c r="H331" s="31">
        <v>1</v>
      </c>
    </row>
    <row r="332" spans="1:8" x14ac:dyDescent="0.2">
      <c r="A332" t="s">
        <v>1622</v>
      </c>
      <c r="B332" t="s">
        <v>1910</v>
      </c>
      <c r="C332" t="s">
        <v>1639</v>
      </c>
      <c r="D332" t="s">
        <v>1773</v>
      </c>
      <c r="E332" s="31">
        <v>300</v>
      </c>
      <c r="F332" s="31">
        <v>0</v>
      </c>
      <c r="G332" s="31">
        <v>0</v>
      </c>
      <c r="H332" s="31">
        <v>300</v>
      </c>
    </row>
    <row r="333" spans="1:8" x14ac:dyDescent="0.2">
      <c r="A333" t="s">
        <v>867</v>
      </c>
      <c r="B333" t="s">
        <v>868</v>
      </c>
      <c r="C333" t="s">
        <v>1</v>
      </c>
      <c r="D333" t="s">
        <v>1773</v>
      </c>
      <c r="E333" s="31">
        <v>2</v>
      </c>
      <c r="F333" s="31">
        <v>0</v>
      </c>
      <c r="G333" s="31">
        <v>0</v>
      </c>
      <c r="H333" s="31">
        <v>2</v>
      </c>
    </row>
    <row r="334" spans="1:8" x14ac:dyDescent="0.2">
      <c r="A334" t="s">
        <v>867</v>
      </c>
      <c r="B334" t="s">
        <v>868</v>
      </c>
      <c r="C334" t="s">
        <v>1639</v>
      </c>
      <c r="D334" t="s">
        <v>1773</v>
      </c>
      <c r="E334" s="31">
        <v>931</v>
      </c>
      <c r="F334" s="31">
        <v>0</v>
      </c>
      <c r="G334" s="31">
        <v>0</v>
      </c>
      <c r="H334" s="31">
        <v>931</v>
      </c>
    </row>
    <row r="335" spans="1:8" x14ac:dyDescent="0.2">
      <c r="A335" t="s">
        <v>869</v>
      </c>
      <c r="B335" t="s">
        <v>870</v>
      </c>
      <c r="C335" t="s">
        <v>1</v>
      </c>
      <c r="E335" s="31">
        <v>0</v>
      </c>
      <c r="F335" s="31">
        <v>0</v>
      </c>
      <c r="G335" s="31">
        <v>14</v>
      </c>
      <c r="H335" s="31">
        <v>14</v>
      </c>
    </row>
    <row r="336" spans="1:8" x14ac:dyDescent="0.2">
      <c r="A336" t="s">
        <v>869</v>
      </c>
      <c r="B336" t="s">
        <v>870</v>
      </c>
      <c r="C336" t="s">
        <v>1</v>
      </c>
      <c r="D336" t="s">
        <v>1774</v>
      </c>
      <c r="E336" s="31">
        <v>0</v>
      </c>
      <c r="F336" s="31">
        <v>0</v>
      </c>
      <c r="G336" s="31">
        <v>1</v>
      </c>
      <c r="H336" s="31">
        <v>1</v>
      </c>
    </row>
    <row r="337" spans="1:8" x14ac:dyDescent="0.2">
      <c r="A337" t="s">
        <v>1624</v>
      </c>
      <c r="B337" t="s">
        <v>870</v>
      </c>
      <c r="C337" t="s">
        <v>1639</v>
      </c>
      <c r="D337" t="s">
        <v>1773</v>
      </c>
      <c r="E337" s="31">
        <v>327</v>
      </c>
      <c r="F337" s="31">
        <v>0</v>
      </c>
      <c r="G337" s="31">
        <v>0</v>
      </c>
      <c r="H337" s="31">
        <v>327</v>
      </c>
    </row>
    <row r="338" spans="1:8" x14ac:dyDescent="0.2">
      <c r="A338" t="s">
        <v>875</v>
      </c>
      <c r="B338" t="s">
        <v>876</v>
      </c>
      <c r="C338" t="s">
        <v>1</v>
      </c>
      <c r="D338" t="s">
        <v>1774</v>
      </c>
      <c r="E338" s="31">
        <v>11</v>
      </c>
      <c r="F338" s="31">
        <v>0</v>
      </c>
      <c r="G338" s="31">
        <v>0</v>
      </c>
      <c r="H338" s="31">
        <v>11</v>
      </c>
    </row>
    <row r="339" spans="1:8" x14ac:dyDescent="0.2">
      <c r="A339" t="s">
        <v>877</v>
      </c>
      <c r="B339" t="s">
        <v>878</v>
      </c>
      <c r="C339" t="s">
        <v>1639</v>
      </c>
      <c r="D339" t="s">
        <v>1773</v>
      </c>
      <c r="E339" s="31">
        <v>405</v>
      </c>
      <c r="F339" s="31">
        <v>0</v>
      </c>
      <c r="G339" s="31">
        <v>0</v>
      </c>
      <c r="H339" s="31">
        <v>405</v>
      </c>
    </row>
    <row r="340" spans="1:8" x14ac:dyDescent="0.2">
      <c r="A340" t="s">
        <v>879</v>
      </c>
      <c r="B340" t="s">
        <v>880</v>
      </c>
      <c r="C340" t="s">
        <v>1639</v>
      </c>
      <c r="D340" t="s">
        <v>1773</v>
      </c>
      <c r="E340" s="31">
        <v>385</v>
      </c>
      <c r="F340" s="31">
        <v>0</v>
      </c>
      <c r="G340" s="31">
        <v>0</v>
      </c>
      <c r="H340" s="31">
        <v>385</v>
      </c>
    </row>
    <row r="341" spans="1:8" x14ac:dyDescent="0.2">
      <c r="A341" t="s">
        <v>1738</v>
      </c>
      <c r="B341" t="s">
        <v>882</v>
      </c>
      <c r="C341" t="s">
        <v>1</v>
      </c>
      <c r="D341" t="s">
        <v>1774</v>
      </c>
      <c r="E341" s="31">
        <v>2</v>
      </c>
      <c r="F341" s="31">
        <v>0</v>
      </c>
      <c r="G341" s="31">
        <v>0</v>
      </c>
      <c r="H341" s="31">
        <v>2</v>
      </c>
    </row>
    <row r="342" spans="1:8" x14ac:dyDescent="0.2">
      <c r="A342" t="s">
        <v>1789</v>
      </c>
      <c r="B342" t="s">
        <v>882</v>
      </c>
      <c r="C342" t="s">
        <v>1</v>
      </c>
      <c r="D342" t="s">
        <v>1774</v>
      </c>
      <c r="E342" s="31">
        <v>0</v>
      </c>
      <c r="F342" s="31">
        <v>0</v>
      </c>
      <c r="G342" s="31">
        <v>1</v>
      </c>
      <c r="H342" s="31">
        <v>1</v>
      </c>
    </row>
    <row r="343" spans="1:8" x14ac:dyDescent="0.2">
      <c r="A343" t="s">
        <v>1818</v>
      </c>
      <c r="B343" t="s">
        <v>882</v>
      </c>
      <c r="C343" t="s">
        <v>1</v>
      </c>
      <c r="E343" s="31">
        <v>0</v>
      </c>
      <c r="F343" s="31">
        <v>45.688000000000002</v>
      </c>
      <c r="G343" s="31">
        <v>0.35</v>
      </c>
      <c r="H343" s="31">
        <v>46.038000000000004</v>
      </c>
    </row>
    <row r="344" spans="1:8" x14ac:dyDescent="0.2">
      <c r="A344" t="s">
        <v>1818</v>
      </c>
      <c r="B344" t="s">
        <v>882</v>
      </c>
      <c r="C344" t="s">
        <v>1</v>
      </c>
      <c r="D344" t="s">
        <v>1774</v>
      </c>
      <c r="E344" s="31">
        <v>0</v>
      </c>
      <c r="F344" s="31">
        <v>0</v>
      </c>
      <c r="G344" s="31">
        <v>2.2400000000000002</v>
      </c>
      <c r="H344" s="31">
        <v>2.2400000000000002</v>
      </c>
    </row>
    <row r="345" spans="1:8" x14ac:dyDescent="0.2">
      <c r="A345" t="s">
        <v>1818</v>
      </c>
      <c r="B345" t="s">
        <v>882</v>
      </c>
      <c r="C345" t="s">
        <v>1639</v>
      </c>
      <c r="E345" s="31">
        <v>72</v>
      </c>
      <c r="F345" s="31">
        <v>0</v>
      </c>
      <c r="G345" s="31">
        <v>0</v>
      </c>
      <c r="H345" s="31">
        <v>72</v>
      </c>
    </row>
    <row r="346" spans="1:8" x14ac:dyDescent="0.2">
      <c r="A346" t="s">
        <v>883</v>
      </c>
      <c r="B346" t="s">
        <v>801</v>
      </c>
      <c r="C346" t="s">
        <v>1</v>
      </c>
      <c r="D346" t="s">
        <v>1774</v>
      </c>
      <c r="E346" s="31">
        <v>0</v>
      </c>
      <c r="F346" s="31">
        <v>0</v>
      </c>
      <c r="G346" s="31">
        <v>1</v>
      </c>
      <c r="H346" s="31">
        <v>1</v>
      </c>
    </row>
    <row r="347" spans="1:8" x14ac:dyDescent="0.2">
      <c r="A347" t="s">
        <v>1864</v>
      </c>
      <c r="B347" t="s">
        <v>801</v>
      </c>
      <c r="C347" t="s">
        <v>1</v>
      </c>
      <c r="D347" t="s">
        <v>1773</v>
      </c>
      <c r="E347" s="31">
        <v>2</v>
      </c>
      <c r="F347" s="31">
        <v>0</v>
      </c>
      <c r="G347" s="31">
        <v>0</v>
      </c>
      <c r="H347" s="31">
        <v>2</v>
      </c>
    </row>
    <row r="348" spans="1:8" x14ac:dyDescent="0.2">
      <c r="A348" t="s">
        <v>1864</v>
      </c>
      <c r="B348" t="s">
        <v>801</v>
      </c>
      <c r="C348" t="s">
        <v>1</v>
      </c>
      <c r="D348" t="s">
        <v>1774</v>
      </c>
      <c r="E348" s="31">
        <v>6</v>
      </c>
      <c r="F348" s="31">
        <v>0</v>
      </c>
      <c r="G348" s="31">
        <v>0</v>
      </c>
      <c r="H348" s="31">
        <v>6</v>
      </c>
    </row>
    <row r="349" spans="1:8" x14ac:dyDescent="0.2">
      <c r="A349" t="s">
        <v>1864</v>
      </c>
      <c r="B349" t="s">
        <v>801</v>
      </c>
      <c r="C349" t="s">
        <v>1639</v>
      </c>
      <c r="D349" t="s">
        <v>1773</v>
      </c>
      <c r="E349" s="31">
        <v>450</v>
      </c>
      <c r="F349" s="31">
        <v>0</v>
      </c>
      <c r="G349" s="31">
        <v>0</v>
      </c>
      <c r="H349" s="31">
        <v>450</v>
      </c>
    </row>
    <row r="350" spans="1:8" x14ac:dyDescent="0.2">
      <c r="A350" t="s">
        <v>1861</v>
      </c>
      <c r="B350" t="s">
        <v>801</v>
      </c>
      <c r="C350" t="s">
        <v>1</v>
      </c>
      <c r="D350" t="s">
        <v>1773</v>
      </c>
      <c r="E350" s="31">
        <v>102</v>
      </c>
      <c r="F350" s="31">
        <v>0</v>
      </c>
      <c r="G350" s="31">
        <v>0</v>
      </c>
      <c r="H350" s="31">
        <v>102</v>
      </c>
    </row>
    <row r="351" spans="1:8" x14ac:dyDescent="0.2">
      <c r="A351" t="s">
        <v>1861</v>
      </c>
      <c r="B351" t="s">
        <v>801</v>
      </c>
      <c r="C351" t="s">
        <v>1639</v>
      </c>
      <c r="D351" t="s">
        <v>1773</v>
      </c>
      <c r="E351" s="31">
        <v>25</v>
      </c>
      <c r="F351" s="31">
        <v>0</v>
      </c>
      <c r="G351" s="31">
        <v>0</v>
      </c>
      <c r="H351" s="31">
        <v>25</v>
      </c>
    </row>
    <row r="352" spans="1:8" x14ac:dyDescent="0.2">
      <c r="A352" t="s">
        <v>885</v>
      </c>
      <c r="B352" t="s">
        <v>1814</v>
      </c>
      <c r="C352" t="s">
        <v>1</v>
      </c>
      <c r="D352" t="s">
        <v>1773</v>
      </c>
      <c r="E352" s="31">
        <v>1</v>
      </c>
      <c r="F352" s="31">
        <v>0</v>
      </c>
      <c r="G352" s="31">
        <v>0</v>
      </c>
      <c r="H352" s="31">
        <v>1</v>
      </c>
    </row>
    <row r="353" spans="1:8" x14ac:dyDescent="0.2">
      <c r="A353" t="s">
        <v>886</v>
      </c>
      <c r="B353" t="s">
        <v>1845</v>
      </c>
      <c r="C353" t="s">
        <v>1</v>
      </c>
      <c r="D353" t="s">
        <v>1773</v>
      </c>
      <c r="E353" s="31">
        <v>2</v>
      </c>
      <c r="F353" s="31">
        <v>0</v>
      </c>
      <c r="G353" s="31">
        <v>0</v>
      </c>
      <c r="H353" s="31">
        <v>2</v>
      </c>
    </row>
    <row r="354" spans="1:8" x14ac:dyDescent="0.2">
      <c r="A354" t="s">
        <v>886</v>
      </c>
      <c r="B354" t="s">
        <v>1845</v>
      </c>
      <c r="C354" t="s">
        <v>1</v>
      </c>
      <c r="D354" t="s">
        <v>1774</v>
      </c>
      <c r="E354" s="31">
        <v>1</v>
      </c>
      <c r="F354" s="31">
        <v>0</v>
      </c>
      <c r="G354" s="31">
        <v>0</v>
      </c>
      <c r="H354" s="31">
        <v>1</v>
      </c>
    </row>
    <row r="355" spans="1:8" x14ac:dyDescent="0.2">
      <c r="A355" t="s">
        <v>886</v>
      </c>
      <c r="B355" t="s">
        <v>1845</v>
      </c>
      <c r="C355" t="s">
        <v>1639</v>
      </c>
      <c r="D355" t="s">
        <v>1773</v>
      </c>
      <c r="E355" s="31">
        <v>421</v>
      </c>
      <c r="F355" s="31">
        <v>0</v>
      </c>
      <c r="G355" s="31">
        <v>0</v>
      </c>
      <c r="H355" s="31">
        <v>421</v>
      </c>
    </row>
    <row r="356" spans="1:8" x14ac:dyDescent="0.2">
      <c r="A356" t="s">
        <v>888</v>
      </c>
      <c r="B356" t="s">
        <v>889</v>
      </c>
      <c r="C356" t="s">
        <v>1</v>
      </c>
      <c r="E356" s="31">
        <v>0</v>
      </c>
      <c r="F356" s="31">
        <v>0</v>
      </c>
      <c r="G356" s="31">
        <v>15</v>
      </c>
      <c r="H356" s="31">
        <v>15</v>
      </c>
    </row>
    <row r="357" spans="1:8" x14ac:dyDescent="0.2">
      <c r="A357" t="s">
        <v>888</v>
      </c>
      <c r="B357" t="s">
        <v>889</v>
      </c>
      <c r="C357" t="s">
        <v>1</v>
      </c>
      <c r="D357" t="s">
        <v>1773</v>
      </c>
      <c r="E357" s="31">
        <v>2</v>
      </c>
      <c r="F357" s="31">
        <v>0</v>
      </c>
      <c r="G357" s="31">
        <v>0</v>
      </c>
      <c r="H357" s="31">
        <v>2</v>
      </c>
    </row>
    <row r="358" spans="1:8" x14ac:dyDescent="0.2">
      <c r="A358" t="s">
        <v>888</v>
      </c>
      <c r="B358" t="s">
        <v>889</v>
      </c>
      <c r="C358" t="s">
        <v>1</v>
      </c>
      <c r="D358" t="s">
        <v>1774</v>
      </c>
      <c r="E358" s="31">
        <v>225</v>
      </c>
      <c r="F358" s="31">
        <v>2</v>
      </c>
      <c r="G358" s="31">
        <v>2</v>
      </c>
      <c r="H358" s="31">
        <v>229</v>
      </c>
    </row>
    <row r="359" spans="1:8" x14ac:dyDescent="0.2">
      <c r="A359" t="s">
        <v>1913</v>
      </c>
      <c r="B359" t="s">
        <v>254</v>
      </c>
      <c r="C359" t="s">
        <v>1639</v>
      </c>
      <c r="D359" t="s">
        <v>1773</v>
      </c>
      <c r="E359" s="31">
        <v>180</v>
      </c>
      <c r="F359" s="31">
        <v>0</v>
      </c>
      <c r="G359" s="31">
        <v>0</v>
      </c>
      <c r="H359" s="31">
        <v>180</v>
      </c>
    </row>
    <row r="360" spans="1:8" x14ac:dyDescent="0.2">
      <c r="A360" t="s">
        <v>1561</v>
      </c>
      <c r="B360" t="s">
        <v>1811</v>
      </c>
      <c r="C360" t="s">
        <v>1</v>
      </c>
      <c r="D360" t="s">
        <v>1773</v>
      </c>
      <c r="E360" s="31">
        <v>1</v>
      </c>
      <c r="F360" s="31">
        <v>0</v>
      </c>
      <c r="G360" s="31">
        <v>0</v>
      </c>
      <c r="H360" s="31">
        <v>1</v>
      </c>
    </row>
    <row r="361" spans="1:8" x14ac:dyDescent="0.2">
      <c r="A361" t="s">
        <v>1717</v>
      </c>
      <c r="B361" t="s">
        <v>1914</v>
      </c>
      <c r="C361" t="s">
        <v>1</v>
      </c>
      <c r="D361" t="s">
        <v>1773</v>
      </c>
      <c r="E361" s="31">
        <v>272</v>
      </c>
      <c r="F361" s="31">
        <v>0</v>
      </c>
      <c r="G361" s="31">
        <v>0</v>
      </c>
      <c r="H361" s="31">
        <v>272</v>
      </c>
    </row>
    <row r="362" spans="1:8" x14ac:dyDescent="0.2">
      <c r="A362" t="s">
        <v>1717</v>
      </c>
      <c r="B362" t="s">
        <v>1914</v>
      </c>
      <c r="C362" t="s">
        <v>1</v>
      </c>
      <c r="D362" t="s">
        <v>1774</v>
      </c>
      <c r="E362" s="31">
        <v>34</v>
      </c>
      <c r="F362" s="31">
        <v>0</v>
      </c>
      <c r="G362" s="31">
        <v>0</v>
      </c>
      <c r="H362" s="31">
        <v>34</v>
      </c>
    </row>
    <row r="363" spans="1:8" x14ac:dyDescent="0.2">
      <c r="A363" t="s">
        <v>1718</v>
      </c>
      <c r="B363" t="s">
        <v>1874</v>
      </c>
      <c r="C363" t="s">
        <v>1</v>
      </c>
      <c r="D363" t="s">
        <v>1773</v>
      </c>
      <c r="E363" s="31">
        <v>69</v>
      </c>
      <c r="F363" s="31">
        <v>0</v>
      </c>
      <c r="G363" s="31">
        <v>0</v>
      </c>
      <c r="H363" s="31">
        <v>69</v>
      </c>
    </row>
    <row r="364" spans="1:8" x14ac:dyDescent="0.2">
      <c r="A364" t="s">
        <v>1718</v>
      </c>
      <c r="B364" t="s">
        <v>1874</v>
      </c>
      <c r="C364" t="s">
        <v>1639</v>
      </c>
      <c r="D364" t="s">
        <v>1773</v>
      </c>
      <c r="E364" s="31">
        <v>229</v>
      </c>
      <c r="F364" s="31">
        <v>0</v>
      </c>
      <c r="G364" s="31">
        <v>0</v>
      </c>
      <c r="H364" s="31">
        <v>229</v>
      </c>
    </row>
    <row r="365" spans="1:8" x14ac:dyDescent="0.2">
      <c r="A365" t="s">
        <v>1710</v>
      </c>
      <c r="B365" t="s">
        <v>229</v>
      </c>
      <c r="C365" t="s">
        <v>1</v>
      </c>
      <c r="E365" s="31">
        <v>3</v>
      </c>
      <c r="F365" s="31">
        <v>0</v>
      </c>
      <c r="G365" s="31">
        <v>0</v>
      </c>
      <c r="H365" s="31">
        <v>3</v>
      </c>
    </row>
    <row r="366" spans="1:8" x14ac:dyDescent="0.2">
      <c r="A366" t="s">
        <v>1710</v>
      </c>
      <c r="B366" t="s">
        <v>229</v>
      </c>
      <c r="C366" t="s">
        <v>1</v>
      </c>
      <c r="D366" t="s">
        <v>1774</v>
      </c>
      <c r="E366" s="31">
        <v>0.91700000000000004</v>
      </c>
      <c r="F366" s="31">
        <v>0</v>
      </c>
      <c r="G366" s="31">
        <v>1.083</v>
      </c>
      <c r="H366" s="31">
        <v>2</v>
      </c>
    </row>
    <row r="367" spans="1:8" x14ac:dyDescent="0.2">
      <c r="A367" t="s">
        <v>890</v>
      </c>
      <c r="B367" t="s">
        <v>1896</v>
      </c>
      <c r="C367" t="s">
        <v>1</v>
      </c>
      <c r="E367" s="31">
        <v>154</v>
      </c>
      <c r="F367" s="31">
        <v>0</v>
      </c>
      <c r="G367" s="31">
        <v>0</v>
      </c>
      <c r="H367" s="31">
        <v>154</v>
      </c>
    </row>
    <row r="368" spans="1:8" x14ac:dyDescent="0.2">
      <c r="A368" t="s">
        <v>890</v>
      </c>
      <c r="B368" t="s">
        <v>1896</v>
      </c>
      <c r="C368" t="s">
        <v>1</v>
      </c>
      <c r="D368" t="s">
        <v>1774</v>
      </c>
      <c r="E368" s="31">
        <v>1</v>
      </c>
      <c r="F368" s="31">
        <v>0</v>
      </c>
      <c r="G368" s="31">
        <v>0</v>
      </c>
      <c r="H368" s="31">
        <v>1</v>
      </c>
    </row>
    <row r="369" spans="1:8" x14ac:dyDescent="0.2">
      <c r="A369" t="s">
        <v>891</v>
      </c>
      <c r="B369" t="s">
        <v>1896</v>
      </c>
      <c r="C369" t="s">
        <v>1</v>
      </c>
      <c r="E369" s="31">
        <v>149</v>
      </c>
      <c r="F369" s="31">
        <v>0</v>
      </c>
      <c r="G369" s="31">
        <v>0</v>
      </c>
      <c r="H369" s="31">
        <v>149</v>
      </c>
    </row>
    <row r="370" spans="1:8" x14ac:dyDescent="0.2">
      <c r="A370" t="s">
        <v>891</v>
      </c>
      <c r="B370" t="s">
        <v>1896</v>
      </c>
      <c r="C370" t="s">
        <v>1</v>
      </c>
      <c r="D370" t="s">
        <v>1774</v>
      </c>
      <c r="E370" s="31">
        <v>1</v>
      </c>
      <c r="F370" s="31">
        <v>0</v>
      </c>
      <c r="G370" s="31">
        <v>0</v>
      </c>
      <c r="H370" s="31">
        <v>1</v>
      </c>
    </row>
    <row r="371" spans="1:8" x14ac:dyDescent="0.2">
      <c r="A371" t="s">
        <v>892</v>
      </c>
      <c r="B371" t="s">
        <v>1788</v>
      </c>
      <c r="C371" t="s">
        <v>1</v>
      </c>
      <c r="D371" t="s">
        <v>1773</v>
      </c>
      <c r="E371" s="31">
        <v>3</v>
      </c>
      <c r="F371" s="31">
        <v>0</v>
      </c>
      <c r="G371" s="31">
        <v>0</v>
      </c>
      <c r="H371" s="31">
        <v>3</v>
      </c>
    </row>
    <row r="372" spans="1:8" x14ac:dyDescent="0.2">
      <c r="A372" t="s">
        <v>892</v>
      </c>
      <c r="B372" t="s">
        <v>1788</v>
      </c>
      <c r="C372" t="s">
        <v>1</v>
      </c>
      <c r="D372" t="s">
        <v>1774</v>
      </c>
      <c r="E372" s="31">
        <v>1</v>
      </c>
      <c r="F372" s="31">
        <v>21</v>
      </c>
      <c r="G372" s="31">
        <v>5</v>
      </c>
      <c r="H372" s="31">
        <v>27</v>
      </c>
    </row>
    <row r="373" spans="1:8" x14ac:dyDescent="0.2">
      <c r="A373" t="s">
        <v>893</v>
      </c>
      <c r="B373" t="s">
        <v>1788</v>
      </c>
      <c r="C373" t="s">
        <v>1</v>
      </c>
      <c r="E373" s="31">
        <v>16</v>
      </c>
      <c r="F373" s="31">
        <v>0</v>
      </c>
      <c r="G373" s="31">
        <v>0</v>
      </c>
      <c r="H373" s="31">
        <v>16</v>
      </c>
    </row>
    <row r="374" spans="1:8" x14ac:dyDescent="0.2">
      <c r="A374" t="s">
        <v>893</v>
      </c>
      <c r="B374" t="s">
        <v>1788</v>
      </c>
      <c r="C374" t="s">
        <v>1</v>
      </c>
      <c r="D374" t="s">
        <v>1773</v>
      </c>
      <c r="E374" s="31">
        <v>107</v>
      </c>
      <c r="F374" s="31">
        <v>0</v>
      </c>
      <c r="G374" s="31">
        <v>0</v>
      </c>
      <c r="H374" s="31">
        <v>107</v>
      </c>
    </row>
    <row r="375" spans="1:8" x14ac:dyDescent="0.2">
      <c r="A375" t="s">
        <v>893</v>
      </c>
      <c r="B375" t="s">
        <v>1788</v>
      </c>
      <c r="C375" t="s">
        <v>1</v>
      </c>
      <c r="D375" t="s">
        <v>1774</v>
      </c>
      <c r="E375" s="31">
        <v>1</v>
      </c>
      <c r="F375" s="31">
        <v>0</v>
      </c>
      <c r="G375" s="31">
        <v>2.5</v>
      </c>
      <c r="H375" s="31">
        <v>3.5</v>
      </c>
    </row>
    <row r="376" spans="1:8" x14ac:dyDescent="0.2">
      <c r="A376" t="s">
        <v>893</v>
      </c>
      <c r="B376" t="s">
        <v>1788</v>
      </c>
      <c r="C376" t="s">
        <v>1639</v>
      </c>
      <c r="D376" t="s">
        <v>1773</v>
      </c>
      <c r="E376" s="31">
        <v>8</v>
      </c>
      <c r="F376" s="31">
        <v>0</v>
      </c>
      <c r="G376" s="31">
        <v>0</v>
      </c>
      <c r="H376" s="31">
        <v>8</v>
      </c>
    </row>
    <row r="377" spans="1:8" x14ac:dyDescent="0.2">
      <c r="A377" t="s">
        <v>894</v>
      </c>
      <c r="B377" t="s">
        <v>1811</v>
      </c>
      <c r="C377" t="s">
        <v>1639</v>
      </c>
      <c r="D377" t="s">
        <v>1773</v>
      </c>
      <c r="E377" s="31">
        <v>1</v>
      </c>
      <c r="F377" s="31">
        <v>0</v>
      </c>
      <c r="G377" s="31">
        <v>0</v>
      </c>
      <c r="H377" s="31">
        <v>1</v>
      </c>
    </row>
    <row r="378" spans="1:8" x14ac:dyDescent="0.2">
      <c r="A378" t="s">
        <v>1567</v>
      </c>
      <c r="B378" t="s">
        <v>1811</v>
      </c>
      <c r="C378" t="s">
        <v>1</v>
      </c>
      <c r="D378" t="s">
        <v>1773</v>
      </c>
      <c r="E378" s="31">
        <v>2</v>
      </c>
      <c r="F378" s="31">
        <v>0</v>
      </c>
      <c r="G378" s="31">
        <v>0</v>
      </c>
      <c r="H378" s="31">
        <v>2</v>
      </c>
    </row>
    <row r="379" spans="1:8" x14ac:dyDescent="0.2">
      <c r="A379" t="s">
        <v>1567</v>
      </c>
      <c r="B379" t="s">
        <v>1811</v>
      </c>
      <c r="C379" t="s">
        <v>1639</v>
      </c>
      <c r="D379" t="s">
        <v>1773</v>
      </c>
      <c r="E379" s="31">
        <v>1</v>
      </c>
      <c r="F379" s="31">
        <v>0</v>
      </c>
      <c r="G379" s="31">
        <v>0</v>
      </c>
      <c r="H379" s="31">
        <v>1</v>
      </c>
    </row>
    <row r="380" spans="1:8" x14ac:dyDescent="0.2">
      <c r="A380" t="s">
        <v>895</v>
      </c>
      <c r="B380" t="s">
        <v>1811</v>
      </c>
      <c r="C380" t="s">
        <v>1</v>
      </c>
      <c r="D380" t="s">
        <v>1773</v>
      </c>
      <c r="E380" s="31">
        <v>10</v>
      </c>
      <c r="F380" s="31">
        <v>0</v>
      </c>
      <c r="G380" s="31">
        <v>0</v>
      </c>
      <c r="H380" s="31">
        <v>10</v>
      </c>
    </row>
    <row r="381" spans="1:8" x14ac:dyDescent="0.2">
      <c r="A381" t="s">
        <v>895</v>
      </c>
      <c r="B381" t="s">
        <v>1811</v>
      </c>
      <c r="C381" t="s">
        <v>1</v>
      </c>
      <c r="D381" t="s">
        <v>1774</v>
      </c>
      <c r="E381" s="31">
        <v>0</v>
      </c>
      <c r="F381" s="31">
        <v>6</v>
      </c>
      <c r="G381" s="31">
        <v>1</v>
      </c>
      <c r="H381" s="31">
        <v>7</v>
      </c>
    </row>
    <row r="382" spans="1:8" x14ac:dyDescent="0.2">
      <c r="A382" t="s">
        <v>895</v>
      </c>
      <c r="B382" t="s">
        <v>1811</v>
      </c>
      <c r="C382" t="s">
        <v>1639</v>
      </c>
      <c r="D382" t="s">
        <v>1773</v>
      </c>
      <c r="E382" s="31">
        <v>44</v>
      </c>
      <c r="F382" s="31">
        <v>0</v>
      </c>
      <c r="G382" s="31">
        <v>0</v>
      </c>
      <c r="H382" s="31">
        <v>44</v>
      </c>
    </row>
    <row r="383" spans="1:8" x14ac:dyDescent="0.2">
      <c r="A383" t="s">
        <v>896</v>
      </c>
      <c r="B383" t="s">
        <v>1812</v>
      </c>
      <c r="C383" t="s">
        <v>1639</v>
      </c>
      <c r="D383" t="s">
        <v>1773</v>
      </c>
      <c r="E383" s="31">
        <v>117</v>
      </c>
      <c r="F383" s="31">
        <v>0</v>
      </c>
      <c r="G383" s="31">
        <v>0</v>
      </c>
      <c r="H383" s="31">
        <v>117</v>
      </c>
    </row>
    <row r="384" spans="1:8" x14ac:dyDescent="0.2">
      <c r="A384" t="s">
        <v>1568</v>
      </c>
      <c r="B384" t="s">
        <v>1812</v>
      </c>
      <c r="C384" t="s">
        <v>1</v>
      </c>
      <c r="D384" t="s">
        <v>1773</v>
      </c>
      <c r="E384" s="31">
        <v>30</v>
      </c>
      <c r="F384" s="31">
        <v>0</v>
      </c>
      <c r="G384" s="31">
        <v>0</v>
      </c>
      <c r="H384" s="31">
        <v>30</v>
      </c>
    </row>
    <row r="385" spans="1:8" x14ac:dyDescent="0.2">
      <c r="A385" t="s">
        <v>897</v>
      </c>
      <c r="B385" t="s">
        <v>1812</v>
      </c>
      <c r="C385" t="s">
        <v>1</v>
      </c>
      <c r="D385" t="s">
        <v>1774</v>
      </c>
      <c r="E385" s="31">
        <v>0</v>
      </c>
      <c r="F385" s="31">
        <v>0</v>
      </c>
      <c r="G385" s="31">
        <v>1</v>
      </c>
      <c r="H385" s="31">
        <v>1</v>
      </c>
    </row>
    <row r="386" spans="1:8" x14ac:dyDescent="0.2">
      <c r="A386" t="s">
        <v>897</v>
      </c>
      <c r="B386" t="s">
        <v>1812</v>
      </c>
      <c r="C386" t="s">
        <v>1639</v>
      </c>
      <c r="D386" t="s">
        <v>1773</v>
      </c>
      <c r="E386" s="31">
        <v>1</v>
      </c>
      <c r="F386" s="31">
        <v>0</v>
      </c>
      <c r="G386" s="31">
        <v>0</v>
      </c>
      <c r="H386" s="31">
        <v>1</v>
      </c>
    </row>
    <row r="387" spans="1:8" x14ac:dyDescent="0.2">
      <c r="A387" t="s">
        <v>1792</v>
      </c>
      <c r="B387" t="s">
        <v>1847</v>
      </c>
      <c r="C387" t="s">
        <v>1639</v>
      </c>
      <c r="D387" t="s">
        <v>1773</v>
      </c>
      <c r="E387" s="31">
        <v>1</v>
      </c>
      <c r="F387" s="31">
        <v>0</v>
      </c>
      <c r="G387" s="31">
        <v>0</v>
      </c>
      <c r="H387" s="31">
        <v>1</v>
      </c>
    </row>
    <row r="388" spans="1:8" x14ac:dyDescent="0.2">
      <c r="A388" t="s">
        <v>902</v>
      </c>
      <c r="B388" t="s">
        <v>1760</v>
      </c>
      <c r="C388" t="s">
        <v>1</v>
      </c>
      <c r="D388" t="s">
        <v>1773</v>
      </c>
      <c r="E388" s="31">
        <v>10</v>
      </c>
      <c r="F388" s="31">
        <v>0</v>
      </c>
      <c r="G388" s="31">
        <v>0</v>
      </c>
      <c r="H388" s="31">
        <v>10</v>
      </c>
    </row>
    <row r="389" spans="1:8" x14ac:dyDescent="0.2">
      <c r="A389" t="s">
        <v>902</v>
      </c>
      <c r="B389" t="s">
        <v>1760</v>
      </c>
      <c r="C389" t="s">
        <v>1</v>
      </c>
      <c r="D389" t="s">
        <v>1774</v>
      </c>
      <c r="E389" s="31">
        <v>0</v>
      </c>
      <c r="F389" s="31">
        <v>0</v>
      </c>
      <c r="G389" s="31">
        <v>2</v>
      </c>
      <c r="H389" s="31">
        <v>2</v>
      </c>
    </row>
    <row r="390" spans="1:8" x14ac:dyDescent="0.2">
      <c r="A390" t="s">
        <v>903</v>
      </c>
      <c r="B390" t="s">
        <v>1760</v>
      </c>
      <c r="C390" t="s">
        <v>1</v>
      </c>
      <c r="D390" t="s">
        <v>1774</v>
      </c>
      <c r="E390" s="31">
        <v>2</v>
      </c>
      <c r="F390" s="31">
        <v>0</v>
      </c>
      <c r="G390" s="31">
        <v>0</v>
      </c>
      <c r="H390" s="31">
        <v>2</v>
      </c>
    </row>
    <row r="391" spans="1:8" x14ac:dyDescent="0.2">
      <c r="A391" t="s">
        <v>903</v>
      </c>
      <c r="B391" t="s">
        <v>1760</v>
      </c>
      <c r="C391" t="s">
        <v>1639</v>
      </c>
      <c r="D391" t="s">
        <v>1773</v>
      </c>
      <c r="E391" s="31">
        <v>997</v>
      </c>
      <c r="F391" s="31">
        <v>0</v>
      </c>
      <c r="G391" s="31">
        <v>0</v>
      </c>
      <c r="H391" s="31">
        <v>997</v>
      </c>
    </row>
    <row r="392" spans="1:8" x14ac:dyDescent="0.2">
      <c r="A392" t="s">
        <v>904</v>
      </c>
      <c r="B392" t="s">
        <v>1781</v>
      </c>
      <c r="C392" t="s">
        <v>1</v>
      </c>
      <c r="D392" t="s">
        <v>1774</v>
      </c>
      <c r="E392" s="31">
        <v>0</v>
      </c>
      <c r="F392" s="31">
        <v>0</v>
      </c>
      <c r="G392" s="31">
        <v>1</v>
      </c>
      <c r="H392" s="31">
        <v>1</v>
      </c>
    </row>
    <row r="393" spans="1:8" x14ac:dyDescent="0.2">
      <c r="A393" t="s">
        <v>904</v>
      </c>
      <c r="B393" t="s">
        <v>1781</v>
      </c>
      <c r="C393" t="s">
        <v>1639</v>
      </c>
      <c r="D393" t="s">
        <v>1773</v>
      </c>
      <c r="E393" s="31">
        <v>1</v>
      </c>
      <c r="F393" s="31">
        <v>0</v>
      </c>
      <c r="G393" s="31">
        <v>0</v>
      </c>
      <c r="H393" s="31">
        <v>1</v>
      </c>
    </row>
    <row r="394" spans="1:8" x14ac:dyDescent="0.2">
      <c r="A394" t="s">
        <v>905</v>
      </c>
      <c r="B394" t="s">
        <v>1781</v>
      </c>
      <c r="C394" t="s">
        <v>1</v>
      </c>
      <c r="D394" t="s">
        <v>1773</v>
      </c>
      <c r="E394" s="31">
        <v>1</v>
      </c>
      <c r="F394" s="31">
        <v>0</v>
      </c>
      <c r="G394" s="31">
        <v>0</v>
      </c>
      <c r="H394" s="31">
        <v>1</v>
      </c>
    </row>
    <row r="395" spans="1:8" x14ac:dyDescent="0.2">
      <c r="A395" t="s">
        <v>905</v>
      </c>
      <c r="B395" t="s">
        <v>1781</v>
      </c>
      <c r="C395" t="s">
        <v>1</v>
      </c>
      <c r="D395" t="s">
        <v>1774</v>
      </c>
      <c r="E395" s="31">
        <v>0</v>
      </c>
      <c r="F395" s="31">
        <v>1</v>
      </c>
      <c r="G395" s="31">
        <v>80</v>
      </c>
      <c r="H395" s="31">
        <v>81</v>
      </c>
    </row>
    <row r="396" spans="1:8" x14ac:dyDescent="0.2">
      <c r="A396" t="s">
        <v>905</v>
      </c>
      <c r="B396" t="s">
        <v>1781</v>
      </c>
      <c r="C396" t="s">
        <v>1639</v>
      </c>
      <c r="D396" t="s">
        <v>1773</v>
      </c>
      <c r="E396" s="31">
        <v>0</v>
      </c>
      <c r="F396" s="31">
        <v>1</v>
      </c>
      <c r="G396" s="31">
        <v>0</v>
      </c>
      <c r="H396" s="31">
        <v>1</v>
      </c>
    </row>
    <row r="397" spans="1:8" x14ac:dyDescent="0.2">
      <c r="A397" t="s">
        <v>906</v>
      </c>
      <c r="B397" t="s">
        <v>1781</v>
      </c>
      <c r="C397" t="s">
        <v>1639</v>
      </c>
      <c r="D397" t="s">
        <v>1773</v>
      </c>
      <c r="E397" s="31">
        <v>6</v>
      </c>
      <c r="F397" s="31">
        <v>0</v>
      </c>
      <c r="G397" s="31">
        <v>0</v>
      </c>
      <c r="H397" s="31">
        <v>6</v>
      </c>
    </row>
    <row r="398" spans="1:8" x14ac:dyDescent="0.2">
      <c r="A398" t="s">
        <v>907</v>
      </c>
      <c r="B398" t="s">
        <v>1781</v>
      </c>
      <c r="C398" t="s">
        <v>1</v>
      </c>
      <c r="D398" t="s">
        <v>1773</v>
      </c>
      <c r="E398" s="31">
        <v>1</v>
      </c>
      <c r="F398" s="31">
        <v>0</v>
      </c>
      <c r="G398" s="31">
        <v>0</v>
      </c>
      <c r="H398" s="31">
        <v>1</v>
      </c>
    </row>
    <row r="399" spans="1:8" x14ac:dyDescent="0.2">
      <c r="A399" t="s">
        <v>907</v>
      </c>
      <c r="B399" t="s">
        <v>1781</v>
      </c>
      <c r="C399" t="s">
        <v>1639</v>
      </c>
      <c r="D399" t="s">
        <v>1773</v>
      </c>
      <c r="E399" s="31">
        <v>1</v>
      </c>
      <c r="F399" s="31">
        <v>0</v>
      </c>
      <c r="G399" s="31">
        <v>0</v>
      </c>
      <c r="H399" s="31">
        <v>1</v>
      </c>
    </row>
    <row r="400" spans="1:8" x14ac:dyDescent="0.2">
      <c r="A400" t="s">
        <v>1626</v>
      </c>
      <c r="B400" t="s">
        <v>1760</v>
      </c>
      <c r="C400" t="s">
        <v>1639</v>
      </c>
      <c r="D400" t="s">
        <v>1773</v>
      </c>
      <c r="E400" s="31">
        <v>1</v>
      </c>
      <c r="F400" s="31">
        <v>0</v>
      </c>
      <c r="G400" s="31">
        <v>0</v>
      </c>
      <c r="H400" s="31">
        <v>1</v>
      </c>
    </row>
    <row r="401" spans="1:8" x14ac:dyDescent="0.2">
      <c r="A401" t="s">
        <v>1691</v>
      </c>
      <c r="B401" t="s">
        <v>1781</v>
      </c>
      <c r="C401" t="s">
        <v>1</v>
      </c>
      <c r="D401" t="s">
        <v>1773</v>
      </c>
      <c r="E401" s="31">
        <v>33</v>
      </c>
      <c r="F401" s="31">
        <v>0</v>
      </c>
      <c r="G401" s="31">
        <v>0</v>
      </c>
      <c r="H401" s="31">
        <v>33</v>
      </c>
    </row>
    <row r="402" spans="1:8" x14ac:dyDescent="0.2">
      <c r="A402" t="s">
        <v>1691</v>
      </c>
      <c r="B402" t="s">
        <v>1781</v>
      </c>
      <c r="C402" t="s">
        <v>1</v>
      </c>
      <c r="D402" t="s">
        <v>1774</v>
      </c>
      <c r="E402" s="31">
        <v>1</v>
      </c>
      <c r="F402" s="31">
        <v>0</v>
      </c>
      <c r="G402" s="31">
        <v>0</v>
      </c>
      <c r="H402" s="31">
        <v>1</v>
      </c>
    </row>
    <row r="403" spans="1:8" x14ac:dyDescent="0.2">
      <c r="A403" t="s">
        <v>1691</v>
      </c>
      <c r="B403" t="s">
        <v>1781</v>
      </c>
      <c r="C403" t="s">
        <v>1639</v>
      </c>
      <c r="D403" t="s">
        <v>1773</v>
      </c>
      <c r="E403" s="31">
        <v>895</v>
      </c>
      <c r="F403" s="31">
        <v>0</v>
      </c>
      <c r="G403" s="31">
        <v>0</v>
      </c>
      <c r="H403" s="31">
        <v>895</v>
      </c>
    </row>
    <row r="404" spans="1:8" x14ac:dyDescent="0.2">
      <c r="A404" t="s">
        <v>911</v>
      </c>
      <c r="B404" t="s">
        <v>568</v>
      </c>
      <c r="C404" t="s">
        <v>1</v>
      </c>
      <c r="D404" t="s">
        <v>1774</v>
      </c>
      <c r="E404" s="31">
        <v>0.54200000000000004</v>
      </c>
      <c r="F404" s="31">
        <v>0</v>
      </c>
      <c r="G404" s="31">
        <v>0</v>
      </c>
      <c r="H404" s="31">
        <v>0.54200000000000004</v>
      </c>
    </row>
    <row r="405" spans="1:8" x14ac:dyDescent="0.2">
      <c r="A405" t="s">
        <v>912</v>
      </c>
      <c r="B405" t="s">
        <v>565</v>
      </c>
      <c r="C405" t="s">
        <v>1</v>
      </c>
      <c r="D405" t="s">
        <v>1774</v>
      </c>
      <c r="E405" s="31">
        <v>0.875</v>
      </c>
      <c r="F405" s="31">
        <v>0</v>
      </c>
      <c r="G405" s="31">
        <v>0.70799999999999996</v>
      </c>
      <c r="H405" s="31">
        <v>1.583</v>
      </c>
    </row>
    <row r="406" spans="1:8" x14ac:dyDescent="0.2">
      <c r="A406" t="s">
        <v>912</v>
      </c>
      <c r="B406" t="s">
        <v>565</v>
      </c>
      <c r="C406" t="s">
        <v>1639</v>
      </c>
      <c r="D406" t="s">
        <v>1773</v>
      </c>
      <c r="E406" s="31">
        <v>121</v>
      </c>
      <c r="F406" s="31">
        <v>0</v>
      </c>
      <c r="G406" s="31">
        <v>0</v>
      </c>
      <c r="H406" s="31">
        <v>121</v>
      </c>
    </row>
    <row r="407" spans="1:8" x14ac:dyDescent="0.2">
      <c r="A407" t="s">
        <v>1851</v>
      </c>
      <c r="B407" t="s">
        <v>1901</v>
      </c>
      <c r="C407" t="s">
        <v>1</v>
      </c>
      <c r="D407" t="s">
        <v>1773</v>
      </c>
      <c r="E407" s="31">
        <v>31</v>
      </c>
      <c r="F407" s="31">
        <v>0</v>
      </c>
      <c r="G407" s="31">
        <v>0</v>
      </c>
      <c r="H407" s="31">
        <v>31</v>
      </c>
    </row>
    <row r="408" spans="1:8" x14ac:dyDescent="0.2">
      <c r="A408" t="s">
        <v>1851</v>
      </c>
      <c r="B408" t="s">
        <v>1901</v>
      </c>
      <c r="C408" t="s">
        <v>1639</v>
      </c>
      <c r="D408" t="s">
        <v>1773</v>
      </c>
      <c r="E408" s="31">
        <v>120</v>
      </c>
      <c r="F408" s="31">
        <v>0</v>
      </c>
      <c r="G408" s="31">
        <v>0</v>
      </c>
      <c r="H408" s="31">
        <v>120</v>
      </c>
    </row>
    <row r="409" spans="1:8" x14ac:dyDescent="0.2">
      <c r="A409" t="s">
        <v>913</v>
      </c>
      <c r="B409" t="s">
        <v>254</v>
      </c>
      <c r="C409" t="s">
        <v>1</v>
      </c>
      <c r="D409" t="s">
        <v>1773</v>
      </c>
      <c r="E409" s="31">
        <v>5</v>
      </c>
      <c r="F409" s="31">
        <v>0</v>
      </c>
      <c r="G409" s="31">
        <v>0</v>
      </c>
      <c r="H409" s="31">
        <v>5</v>
      </c>
    </row>
    <row r="410" spans="1:8" x14ac:dyDescent="0.2">
      <c r="A410" t="s">
        <v>913</v>
      </c>
      <c r="B410" t="s">
        <v>254</v>
      </c>
      <c r="C410" t="s">
        <v>1</v>
      </c>
      <c r="D410" t="s">
        <v>1774</v>
      </c>
      <c r="E410" s="31">
        <v>22.165999999999997</v>
      </c>
      <c r="F410" s="31">
        <v>0</v>
      </c>
      <c r="G410" s="31">
        <v>2.2080000000000002</v>
      </c>
      <c r="H410" s="31">
        <v>24.373999999999999</v>
      </c>
    </row>
    <row r="411" spans="1:8" x14ac:dyDescent="0.2">
      <c r="A411" t="s">
        <v>913</v>
      </c>
      <c r="B411" t="s">
        <v>254</v>
      </c>
      <c r="C411" t="s">
        <v>1639</v>
      </c>
      <c r="D411" t="s">
        <v>1773</v>
      </c>
      <c r="E411" s="31">
        <v>152</v>
      </c>
      <c r="F411" s="31">
        <v>0</v>
      </c>
      <c r="G411" s="31">
        <v>0</v>
      </c>
      <c r="H411" s="31">
        <v>152</v>
      </c>
    </row>
    <row r="412" spans="1:8" x14ac:dyDescent="0.2">
      <c r="A412" t="s">
        <v>1805</v>
      </c>
      <c r="B412" t="s">
        <v>801</v>
      </c>
      <c r="C412" t="s">
        <v>1639</v>
      </c>
      <c r="D412" t="s">
        <v>1773</v>
      </c>
      <c r="E412" s="31">
        <v>217</v>
      </c>
      <c r="F412" s="31">
        <v>0</v>
      </c>
      <c r="G412" s="31">
        <v>0</v>
      </c>
      <c r="H412" s="31">
        <v>217</v>
      </c>
    </row>
    <row r="413" spans="1:8" x14ac:dyDescent="0.2">
      <c r="A413" t="s">
        <v>1836</v>
      </c>
      <c r="B413" t="s">
        <v>690</v>
      </c>
      <c r="C413" t="s">
        <v>1</v>
      </c>
      <c r="D413" t="s">
        <v>1773</v>
      </c>
      <c r="E413" s="31">
        <v>164</v>
      </c>
      <c r="F413" s="31">
        <v>0</v>
      </c>
      <c r="G413" s="31">
        <v>0</v>
      </c>
      <c r="H413" s="31">
        <v>164</v>
      </c>
    </row>
    <row r="414" spans="1:8" x14ac:dyDescent="0.2">
      <c r="A414" t="s">
        <v>1836</v>
      </c>
      <c r="B414" t="s">
        <v>690</v>
      </c>
      <c r="C414" t="s">
        <v>1639</v>
      </c>
      <c r="D414" t="s">
        <v>1773</v>
      </c>
      <c r="E414" s="31">
        <v>270</v>
      </c>
      <c r="F414" s="31">
        <v>0</v>
      </c>
      <c r="G414" s="31">
        <v>0</v>
      </c>
      <c r="H414" s="31">
        <v>270</v>
      </c>
    </row>
    <row r="415" spans="1:8" x14ac:dyDescent="0.2">
      <c r="A415" t="s">
        <v>1882</v>
      </c>
      <c r="B415" t="s">
        <v>1876</v>
      </c>
      <c r="C415" t="s">
        <v>1</v>
      </c>
      <c r="D415" t="s">
        <v>1773</v>
      </c>
      <c r="E415" s="31">
        <v>501</v>
      </c>
      <c r="F415" s="31">
        <v>0</v>
      </c>
      <c r="G415" s="31">
        <v>0</v>
      </c>
      <c r="H415" s="31">
        <v>501</v>
      </c>
    </row>
    <row r="416" spans="1:8" x14ac:dyDescent="0.2">
      <c r="A416" t="s">
        <v>1819</v>
      </c>
      <c r="B416" t="s">
        <v>1820</v>
      </c>
      <c r="C416" t="s">
        <v>1</v>
      </c>
      <c r="D416" t="s">
        <v>1773</v>
      </c>
      <c r="E416" s="31">
        <v>51</v>
      </c>
      <c r="F416" s="31">
        <v>0</v>
      </c>
      <c r="G416" s="31">
        <v>0</v>
      </c>
      <c r="H416" s="31">
        <v>51</v>
      </c>
    </row>
    <row r="417" spans="1:8" x14ac:dyDescent="0.2">
      <c r="A417" t="s">
        <v>1819</v>
      </c>
      <c r="B417" t="s">
        <v>1820</v>
      </c>
      <c r="C417" t="s">
        <v>1639</v>
      </c>
      <c r="D417" t="s">
        <v>1773</v>
      </c>
      <c r="E417" s="31">
        <v>50</v>
      </c>
      <c r="F417" s="31">
        <v>0</v>
      </c>
      <c r="G417" s="31">
        <v>0</v>
      </c>
      <c r="H417" s="31">
        <v>50</v>
      </c>
    </row>
    <row r="418" spans="1:8" x14ac:dyDescent="0.2">
      <c r="A418" t="s">
        <v>1877</v>
      </c>
      <c r="B418" t="s">
        <v>1785</v>
      </c>
      <c r="C418" t="s">
        <v>1</v>
      </c>
      <c r="D418" t="s">
        <v>1773</v>
      </c>
      <c r="E418" s="31">
        <v>120</v>
      </c>
      <c r="F418" s="31">
        <v>0</v>
      </c>
      <c r="G418" s="31">
        <v>0</v>
      </c>
      <c r="H418" s="31">
        <v>120</v>
      </c>
    </row>
    <row r="419" spans="1:8" x14ac:dyDescent="0.2">
      <c r="A419" t="s">
        <v>1829</v>
      </c>
      <c r="B419" t="s">
        <v>1794</v>
      </c>
      <c r="C419" t="s">
        <v>1</v>
      </c>
      <c r="D419" t="s">
        <v>1773</v>
      </c>
      <c r="E419" s="31">
        <v>519</v>
      </c>
      <c r="F419" s="31">
        <v>0</v>
      </c>
      <c r="G419" s="31">
        <v>0</v>
      </c>
      <c r="H419" s="31">
        <v>519</v>
      </c>
    </row>
    <row r="420" spans="1:8" x14ac:dyDescent="0.2">
      <c r="A420" t="s">
        <v>1829</v>
      </c>
      <c r="B420" t="s">
        <v>1794</v>
      </c>
      <c r="C420" t="s">
        <v>1639</v>
      </c>
      <c r="D420" t="s">
        <v>1773</v>
      </c>
      <c r="E420" s="31">
        <v>125</v>
      </c>
      <c r="F420" s="31">
        <v>0</v>
      </c>
      <c r="G420" s="31">
        <v>0</v>
      </c>
      <c r="H420" s="31">
        <v>125</v>
      </c>
    </row>
    <row r="421" spans="1:8" x14ac:dyDescent="0.2">
      <c r="A421" t="s">
        <v>1633</v>
      </c>
      <c r="B421" t="s">
        <v>1762</v>
      </c>
      <c r="C421" t="s">
        <v>1</v>
      </c>
      <c r="D421" t="s">
        <v>1773</v>
      </c>
      <c r="E421" s="31">
        <v>96</v>
      </c>
      <c r="F421" s="31">
        <v>0</v>
      </c>
      <c r="G421" s="31">
        <v>0</v>
      </c>
      <c r="H421" s="31">
        <v>96</v>
      </c>
    </row>
    <row r="422" spans="1:8" x14ac:dyDescent="0.2">
      <c r="A422" t="s">
        <v>1633</v>
      </c>
      <c r="B422" t="s">
        <v>1762</v>
      </c>
      <c r="C422" t="s">
        <v>1</v>
      </c>
      <c r="D422" t="s">
        <v>1774</v>
      </c>
      <c r="E422" s="31">
        <v>0</v>
      </c>
      <c r="F422" s="31">
        <v>0</v>
      </c>
      <c r="G422" s="31">
        <v>1</v>
      </c>
      <c r="H422" s="31">
        <v>1</v>
      </c>
    </row>
    <row r="423" spans="1:8" x14ac:dyDescent="0.2">
      <c r="A423" t="s">
        <v>1902</v>
      </c>
      <c r="B423" t="s">
        <v>1762</v>
      </c>
      <c r="C423" t="s">
        <v>1</v>
      </c>
      <c r="D423" t="s">
        <v>1773</v>
      </c>
      <c r="E423" s="31">
        <v>384</v>
      </c>
      <c r="F423" s="31">
        <v>0</v>
      </c>
      <c r="G423" s="31">
        <v>0</v>
      </c>
      <c r="H423" s="31">
        <v>384</v>
      </c>
    </row>
    <row r="424" spans="1:8" x14ac:dyDescent="0.2">
      <c r="A424" t="s">
        <v>1830</v>
      </c>
      <c r="B424" t="s">
        <v>1831</v>
      </c>
      <c r="C424" t="s">
        <v>1</v>
      </c>
      <c r="D424" t="s">
        <v>1773</v>
      </c>
      <c r="E424" s="31">
        <v>41</v>
      </c>
      <c r="F424" s="31">
        <v>0</v>
      </c>
      <c r="G424" s="31">
        <v>0</v>
      </c>
      <c r="H424" s="31">
        <v>41</v>
      </c>
    </row>
    <row r="425" spans="1:8" x14ac:dyDescent="0.2">
      <c r="A425" t="s">
        <v>1830</v>
      </c>
      <c r="B425" t="s">
        <v>1831</v>
      </c>
      <c r="C425" t="s">
        <v>1</v>
      </c>
      <c r="D425" t="s">
        <v>1774</v>
      </c>
      <c r="E425" s="31">
        <v>0</v>
      </c>
      <c r="F425" s="31">
        <v>0</v>
      </c>
      <c r="G425" s="31">
        <v>1</v>
      </c>
      <c r="H425" s="31">
        <v>1</v>
      </c>
    </row>
    <row r="426" spans="1:8" x14ac:dyDescent="0.2">
      <c r="A426" t="s">
        <v>1830</v>
      </c>
      <c r="B426" t="s">
        <v>1831</v>
      </c>
      <c r="C426" t="s">
        <v>1639</v>
      </c>
      <c r="D426" t="s">
        <v>1773</v>
      </c>
      <c r="E426" s="31">
        <v>272</v>
      </c>
      <c r="F426" s="31">
        <v>0</v>
      </c>
      <c r="G426" s="31">
        <v>0</v>
      </c>
      <c r="H426" s="31">
        <v>272</v>
      </c>
    </row>
    <row r="427" spans="1:8" x14ac:dyDescent="0.2">
      <c r="A427" t="s">
        <v>1905</v>
      </c>
      <c r="B427" t="s">
        <v>1906</v>
      </c>
      <c r="C427" t="s">
        <v>1</v>
      </c>
      <c r="D427" t="s">
        <v>1773</v>
      </c>
      <c r="E427" s="31">
        <v>211</v>
      </c>
      <c r="F427" s="31">
        <v>0</v>
      </c>
      <c r="G427" s="31">
        <v>0</v>
      </c>
      <c r="H427" s="31">
        <v>211</v>
      </c>
    </row>
    <row r="428" spans="1:8" x14ac:dyDescent="0.2">
      <c r="A428" t="s">
        <v>1821</v>
      </c>
      <c r="B428" t="s">
        <v>1924</v>
      </c>
      <c r="C428" t="s">
        <v>1</v>
      </c>
      <c r="D428" t="s">
        <v>1774</v>
      </c>
      <c r="E428" s="31">
        <v>554</v>
      </c>
      <c r="F428" s="31">
        <v>0</v>
      </c>
      <c r="G428" s="31">
        <v>0</v>
      </c>
      <c r="H428" s="31">
        <v>554</v>
      </c>
    </row>
    <row r="429" spans="1:8" x14ac:dyDescent="0.2">
      <c r="A429" t="s">
        <v>1765</v>
      </c>
      <c r="B429" t="s">
        <v>1766</v>
      </c>
      <c r="C429" t="s">
        <v>1639</v>
      </c>
      <c r="D429" t="s">
        <v>1773</v>
      </c>
      <c r="E429" s="31">
        <v>1</v>
      </c>
      <c r="F429" s="31">
        <v>0</v>
      </c>
      <c r="G429" s="31">
        <v>0</v>
      </c>
      <c r="H429" s="31">
        <v>1</v>
      </c>
    </row>
    <row r="430" spans="1:8" x14ac:dyDescent="0.2">
      <c r="A430" t="s">
        <v>1857</v>
      </c>
      <c r="B430" t="s">
        <v>1766</v>
      </c>
      <c r="C430" t="s">
        <v>1</v>
      </c>
      <c r="D430" t="s">
        <v>1773</v>
      </c>
      <c r="E430" s="31">
        <v>48</v>
      </c>
      <c r="F430" s="31">
        <v>0</v>
      </c>
      <c r="G430" s="31">
        <v>0</v>
      </c>
      <c r="H430" s="31">
        <v>48</v>
      </c>
    </row>
    <row r="431" spans="1:8" x14ac:dyDescent="0.2">
      <c r="A431" t="s">
        <v>1857</v>
      </c>
      <c r="B431" t="s">
        <v>1766</v>
      </c>
      <c r="C431" t="s">
        <v>1639</v>
      </c>
      <c r="D431" t="s">
        <v>1773</v>
      </c>
      <c r="E431" s="31">
        <v>1</v>
      </c>
      <c r="F431" s="31">
        <v>0</v>
      </c>
      <c r="G431" s="31">
        <v>0</v>
      </c>
      <c r="H431" s="31">
        <v>1</v>
      </c>
    </row>
    <row r="432" spans="1:8" x14ac:dyDescent="0.2">
      <c r="A432" t="s">
        <v>1767</v>
      </c>
      <c r="B432" t="s">
        <v>1768</v>
      </c>
      <c r="C432" t="s">
        <v>1</v>
      </c>
      <c r="E432" s="31">
        <v>0</v>
      </c>
      <c r="F432" s="31">
        <v>0</v>
      </c>
      <c r="G432" s="31">
        <v>80</v>
      </c>
      <c r="H432" s="31">
        <v>80</v>
      </c>
    </row>
    <row r="433" spans="1:8" x14ac:dyDescent="0.2">
      <c r="A433" t="s">
        <v>1767</v>
      </c>
      <c r="B433" t="s">
        <v>1768</v>
      </c>
      <c r="C433" t="s">
        <v>1</v>
      </c>
      <c r="D433" t="s">
        <v>1774</v>
      </c>
      <c r="E433" s="31">
        <v>0</v>
      </c>
      <c r="F433" s="31">
        <v>20</v>
      </c>
      <c r="G433" s="31">
        <v>0</v>
      </c>
      <c r="H433" s="31">
        <v>20</v>
      </c>
    </row>
    <row r="434" spans="1:8" x14ac:dyDescent="0.2">
      <c r="A434" t="s">
        <v>1780</v>
      </c>
      <c r="B434" t="s">
        <v>1768</v>
      </c>
      <c r="C434" t="s">
        <v>1</v>
      </c>
      <c r="D434" t="s">
        <v>1774</v>
      </c>
      <c r="E434" s="31">
        <v>2</v>
      </c>
      <c r="F434" s="31">
        <v>48</v>
      </c>
      <c r="G434" s="31">
        <v>0</v>
      </c>
      <c r="H434" s="31">
        <v>50</v>
      </c>
    </row>
    <row r="435" spans="1:8" x14ac:dyDescent="0.2">
      <c r="A435" t="s">
        <v>1807</v>
      </c>
      <c r="B435" t="s">
        <v>1768</v>
      </c>
      <c r="C435" t="s">
        <v>1</v>
      </c>
      <c r="E435" s="31">
        <v>0</v>
      </c>
      <c r="F435" s="31">
        <v>13.206</v>
      </c>
      <c r="G435" s="31">
        <v>0</v>
      </c>
      <c r="H435" s="31">
        <v>13.206</v>
      </c>
    </row>
    <row r="436" spans="1:8" x14ac:dyDescent="0.2">
      <c r="A436" t="s">
        <v>1807</v>
      </c>
      <c r="B436" t="s">
        <v>1768</v>
      </c>
      <c r="C436" t="s">
        <v>1</v>
      </c>
      <c r="D436" t="s">
        <v>1774</v>
      </c>
      <c r="E436" s="31">
        <v>583</v>
      </c>
      <c r="F436" s="31">
        <v>0</v>
      </c>
      <c r="G436" s="31">
        <v>0</v>
      </c>
      <c r="H436" s="31">
        <v>583</v>
      </c>
    </row>
    <row r="437" spans="1:8" x14ac:dyDescent="0.2">
      <c r="A437" t="s">
        <v>1807</v>
      </c>
      <c r="B437" t="s">
        <v>1768</v>
      </c>
      <c r="C437" t="s">
        <v>1639</v>
      </c>
      <c r="E437" s="31">
        <v>69</v>
      </c>
      <c r="F437" s="31">
        <v>0</v>
      </c>
      <c r="G437" s="31">
        <v>0</v>
      </c>
      <c r="H437" s="31">
        <v>69</v>
      </c>
    </row>
    <row r="438" spans="1:8" x14ac:dyDescent="0.2">
      <c r="A438" t="s">
        <v>1699</v>
      </c>
      <c r="B438" t="s">
        <v>1848</v>
      </c>
      <c r="C438" t="s">
        <v>1</v>
      </c>
      <c r="D438" t="s">
        <v>1774</v>
      </c>
      <c r="E438" s="31">
        <v>1</v>
      </c>
      <c r="F438" s="31">
        <v>0</v>
      </c>
      <c r="G438" s="31">
        <v>0</v>
      </c>
      <c r="H438" s="31">
        <v>1</v>
      </c>
    </row>
    <row r="439" spans="1:8" x14ac:dyDescent="0.2">
      <c r="A439" t="s">
        <v>919</v>
      </c>
      <c r="B439" t="s">
        <v>1781</v>
      </c>
      <c r="C439" t="s">
        <v>1</v>
      </c>
      <c r="D439" t="s">
        <v>1773</v>
      </c>
      <c r="E439" s="31">
        <v>14</v>
      </c>
      <c r="F439" s="31">
        <v>0</v>
      </c>
      <c r="G439" s="31">
        <v>0</v>
      </c>
      <c r="H439" s="31">
        <v>14</v>
      </c>
    </row>
    <row r="440" spans="1:8" x14ac:dyDescent="0.2">
      <c r="A440" t="s">
        <v>919</v>
      </c>
      <c r="B440" t="s">
        <v>1781</v>
      </c>
      <c r="C440" t="s">
        <v>1</v>
      </c>
      <c r="D440" t="s">
        <v>1774</v>
      </c>
      <c r="E440" s="31">
        <v>1</v>
      </c>
      <c r="F440" s="31">
        <v>0</v>
      </c>
      <c r="G440" s="31">
        <v>1</v>
      </c>
      <c r="H440" s="31">
        <v>2</v>
      </c>
    </row>
    <row r="441" spans="1:8" x14ac:dyDescent="0.2">
      <c r="A441" t="s">
        <v>919</v>
      </c>
      <c r="B441" t="s">
        <v>1781</v>
      </c>
      <c r="C441" t="s">
        <v>1639</v>
      </c>
      <c r="D441" t="s">
        <v>1773</v>
      </c>
      <c r="E441" s="31">
        <v>433</v>
      </c>
      <c r="F441" s="31">
        <v>0</v>
      </c>
      <c r="G441" s="31">
        <v>0</v>
      </c>
      <c r="H441" s="31">
        <v>433</v>
      </c>
    </row>
    <row r="442" spans="1:8" x14ac:dyDescent="0.2">
      <c r="A442" t="s">
        <v>1574</v>
      </c>
      <c r="B442" t="s">
        <v>1777</v>
      </c>
      <c r="C442" t="s">
        <v>1</v>
      </c>
      <c r="D442" t="s">
        <v>1774</v>
      </c>
      <c r="E442" s="31">
        <v>0</v>
      </c>
      <c r="F442" s="31">
        <v>0</v>
      </c>
      <c r="G442" s="31">
        <v>1</v>
      </c>
      <c r="H442" s="31">
        <v>1</v>
      </c>
    </row>
    <row r="443" spans="1:8" x14ac:dyDescent="0.2">
      <c r="A443" t="s">
        <v>1575</v>
      </c>
      <c r="B443" t="s">
        <v>1775</v>
      </c>
      <c r="C443" t="s">
        <v>1</v>
      </c>
      <c r="D443" t="s">
        <v>1773</v>
      </c>
      <c r="E443" s="31">
        <v>15</v>
      </c>
      <c r="F443" s="31">
        <v>0</v>
      </c>
      <c r="G443" s="31">
        <v>0</v>
      </c>
      <c r="H443" s="31">
        <v>15</v>
      </c>
    </row>
    <row r="444" spans="1:8" x14ac:dyDescent="0.2">
      <c r="A444" t="s">
        <v>1575</v>
      </c>
      <c r="B444" t="s">
        <v>1775</v>
      </c>
      <c r="C444" t="s">
        <v>1</v>
      </c>
      <c r="D444" t="s">
        <v>1774</v>
      </c>
      <c r="E444" s="31">
        <v>0</v>
      </c>
      <c r="F444" s="31">
        <v>3</v>
      </c>
      <c r="G444" s="31">
        <v>0</v>
      </c>
      <c r="H444" s="31">
        <v>3</v>
      </c>
    </row>
    <row r="445" spans="1:8" x14ac:dyDescent="0.2">
      <c r="A445" t="s">
        <v>1575</v>
      </c>
      <c r="B445" t="s">
        <v>1775</v>
      </c>
      <c r="C445" t="s">
        <v>1639</v>
      </c>
      <c r="D445" t="s">
        <v>1773</v>
      </c>
      <c r="E445" s="31">
        <v>77</v>
      </c>
      <c r="F445" s="31">
        <v>0</v>
      </c>
      <c r="G445" s="31">
        <v>0</v>
      </c>
      <c r="H445" s="31">
        <v>77</v>
      </c>
    </row>
    <row r="446" spans="1:8" x14ac:dyDescent="0.2">
      <c r="A446" t="s">
        <v>1576</v>
      </c>
      <c r="B446" t="s">
        <v>240</v>
      </c>
      <c r="C446" t="s">
        <v>1639</v>
      </c>
      <c r="D446" t="s">
        <v>1773</v>
      </c>
      <c r="E446" s="31">
        <v>3</v>
      </c>
      <c r="F446" s="31">
        <v>0</v>
      </c>
      <c r="G446" s="31">
        <v>0</v>
      </c>
      <c r="H446" s="31">
        <v>3</v>
      </c>
    </row>
    <row r="447" spans="1:8" x14ac:dyDescent="0.2">
      <c r="A447" t="s">
        <v>1577</v>
      </c>
      <c r="B447" t="s">
        <v>232</v>
      </c>
      <c r="C447" t="s">
        <v>1</v>
      </c>
      <c r="D447" t="s">
        <v>1774</v>
      </c>
      <c r="E447" s="31">
        <v>1</v>
      </c>
      <c r="F447" s="31">
        <v>0</v>
      </c>
      <c r="G447" s="31">
        <v>1</v>
      </c>
      <c r="H447" s="31">
        <v>2</v>
      </c>
    </row>
    <row r="448" spans="1:8" x14ac:dyDescent="0.2">
      <c r="A448" t="s">
        <v>1577</v>
      </c>
      <c r="B448" t="s">
        <v>232</v>
      </c>
      <c r="C448" t="s">
        <v>1639</v>
      </c>
      <c r="D448" t="s">
        <v>1773</v>
      </c>
      <c r="E448" s="31">
        <v>96</v>
      </c>
      <c r="F448" s="31">
        <v>0</v>
      </c>
      <c r="G448" s="31">
        <v>0</v>
      </c>
      <c r="H448" s="31">
        <v>96</v>
      </c>
    </row>
    <row r="449" spans="1:8" x14ac:dyDescent="0.2">
      <c r="A449" t="s">
        <v>1602</v>
      </c>
      <c r="B449" t="s">
        <v>241</v>
      </c>
      <c r="C449" t="s">
        <v>1</v>
      </c>
      <c r="D449" t="s">
        <v>1773</v>
      </c>
      <c r="E449" s="31">
        <v>183</v>
      </c>
      <c r="F449" s="31">
        <v>0</v>
      </c>
      <c r="G449" s="31">
        <v>0</v>
      </c>
      <c r="H449" s="31">
        <v>183</v>
      </c>
    </row>
    <row r="450" spans="1:8" x14ac:dyDescent="0.2">
      <c r="A450" t="s">
        <v>1602</v>
      </c>
      <c r="B450" t="s">
        <v>241</v>
      </c>
      <c r="C450" t="s">
        <v>1</v>
      </c>
      <c r="D450" t="s">
        <v>1774</v>
      </c>
      <c r="E450" s="31">
        <v>2</v>
      </c>
      <c r="F450" s="31">
        <v>0</v>
      </c>
      <c r="G450" s="31">
        <v>0</v>
      </c>
      <c r="H450" s="31">
        <v>2</v>
      </c>
    </row>
    <row r="451" spans="1:8" x14ac:dyDescent="0.2">
      <c r="A451" t="s">
        <v>1579</v>
      </c>
      <c r="B451" t="s">
        <v>562</v>
      </c>
      <c r="C451" t="s">
        <v>1</v>
      </c>
      <c r="D451" t="s">
        <v>1773</v>
      </c>
      <c r="E451" s="31">
        <v>50</v>
      </c>
      <c r="F451" s="31">
        <v>0</v>
      </c>
      <c r="G451" s="31">
        <v>0</v>
      </c>
      <c r="H451" s="31">
        <v>50</v>
      </c>
    </row>
    <row r="452" spans="1:8" x14ac:dyDescent="0.2">
      <c r="A452" t="s">
        <v>1580</v>
      </c>
      <c r="B452" t="s">
        <v>1791</v>
      </c>
      <c r="C452" t="s">
        <v>1</v>
      </c>
      <c r="D452" t="s">
        <v>1773</v>
      </c>
      <c r="E452" s="31">
        <v>15</v>
      </c>
      <c r="F452" s="31">
        <v>0</v>
      </c>
      <c r="G452" s="31">
        <v>0</v>
      </c>
      <c r="H452" s="31">
        <v>15</v>
      </c>
    </row>
    <row r="453" spans="1:8" x14ac:dyDescent="0.2">
      <c r="A453" t="s">
        <v>1580</v>
      </c>
      <c r="B453" t="s">
        <v>1791</v>
      </c>
      <c r="C453" t="s">
        <v>1639</v>
      </c>
      <c r="D453" t="s">
        <v>1773</v>
      </c>
      <c r="E453" s="31">
        <v>76</v>
      </c>
      <c r="F453" s="31">
        <v>0</v>
      </c>
      <c r="G453" s="31">
        <v>0</v>
      </c>
      <c r="H453" s="31">
        <v>76</v>
      </c>
    </row>
    <row r="454" spans="1:8" x14ac:dyDescent="0.2">
      <c r="A454" t="s">
        <v>1637</v>
      </c>
      <c r="B454" t="s">
        <v>1781</v>
      </c>
      <c r="C454" t="s">
        <v>1</v>
      </c>
      <c r="D454" t="s">
        <v>1773</v>
      </c>
      <c r="E454" s="31">
        <v>5</v>
      </c>
      <c r="F454" s="31">
        <v>0</v>
      </c>
      <c r="G454" s="31">
        <v>0</v>
      </c>
      <c r="H454" s="31">
        <v>5</v>
      </c>
    </row>
    <row r="455" spans="1:8" x14ac:dyDescent="0.2">
      <c r="A455" t="s">
        <v>1637</v>
      </c>
      <c r="B455" t="s">
        <v>1781</v>
      </c>
      <c r="C455" t="s">
        <v>1</v>
      </c>
      <c r="D455" t="s">
        <v>1774</v>
      </c>
      <c r="E455" s="31">
        <v>0.41699999999999998</v>
      </c>
      <c r="F455" s="31">
        <v>0</v>
      </c>
      <c r="G455" s="31">
        <v>0</v>
      </c>
      <c r="H455" s="31">
        <v>0.41699999999999998</v>
      </c>
    </row>
    <row r="456" spans="1:8" x14ac:dyDescent="0.2">
      <c r="A456" t="s">
        <v>1638</v>
      </c>
      <c r="B456" t="s">
        <v>801</v>
      </c>
      <c r="C456" t="s">
        <v>1</v>
      </c>
      <c r="D456" t="s">
        <v>1773</v>
      </c>
      <c r="E456" s="31">
        <v>5</v>
      </c>
      <c r="F456" s="31">
        <v>0</v>
      </c>
      <c r="G456" s="31">
        <v>0</v>
      </c>
      <c r="H456" s="31">
        <v>5</v>
      </c>
    </row>
    <row r="457" spans="1:8" x14ac:dyDescent="0.2">
      <c r="A457" t="s">
        <v>1638</v>
      </c>
      <c r="B457" t="s">
        <v>801</v>
      </c>
      <c r="C457" t="s">
        <v>1</v>
      </c>
      <c r="D457" t="s">
        <v>1774</v>
      </c>
      <c r="E457" s="31">
        <v>1.292</v>
      </c>
      <c r="F457" s="31">
        <v>0</v>
      </c>
      <c r="G457" s="31">
        <v>0.33300000000000002</v>
      </c>
      <c r="H457" s="31">
        <v>1.625</v>
      </c>
    </row>
    <row r="458" spans="1:8" x14ac:dyDescent="0.2">
      <c r="A458" t="s">
        <v>1638</v>
      </c>
      <c r="B458" t="s">
        <v>801</v>
      </c>
      <c r="C458" t="s">
        <v>1639</v>
      </c>
      <c r="D458" t="s">
        <v>1773</v>
      </c>
      <c r="E458" s="31">
        <v>53</v>
      </c>
      <c r="F458" s="31">
        <v>0</v>
      </c>
      <c r="G458" s="31">
        <v>0</v>
      </c>
      <c r="H458" s="31">
        <v>53</v>
      </c>
    </row>
    <row r="459" spans="1:8" x14ac:dyDescent="0.2">
      <c r="A459" t="s">
        <v>1886</v>
      </c>
      <c r="B459" t="s">
        <v>1758</v>
      </c>
      <c r="C459" t="s">
        <v>1639</v>
      </c>
      <c r="D459" t="s">
        <v>1773</v>
      </c>
      <c r="E459" s="31">
        <v>150</v>
      </c>
      <c r="F459" s="31">
        <v>0</v>
      </c>
      <c r="G459" s="31">
        <v>0</v>
      </c>
      <c r="H459" s="31">
        <v>150</v>
      </c>
    </row>
    <row r="460" spans="1:8" x14ac:dyDescent="0.2">
      <c r="A460" t="s">
        <v>1822</v>
      </c>
      <c r="B460" t="s">
        <v>1795</v>
      </c>
      <c r="C460" t="s">
        <v>1</v>
      </c>
      <c r="D460" t="s">
        <v>1773</v>
      </c>
      <c r="E460" s="31">
        <v>272</v>
      </c>
      <c r="F460" s="31">
        <v>0</v>
      </c>
      <c r="G460" s="31">
        <v>0</v>
      </c>
      <c r="H460" s="31">
        <v>272</v>
      </c>
    </row>
    <row r="461" spans="1:8" x14ac:dyDescent="0.2">
      <c r="A461" t="s">
        <v>1816</v>
      </c>
      <c r="B461" t="s">
        <v>287</v>
      </c>
      <c r="C461" t="s">
        <v>1</v>
      </c>
      <c r="D461" t="s">
        <v>1774</v>
      </c>
      <c r="E461" s="31">
        <v>144</v>
      </c>
      <c r="F461" s="31">
        <v>0</v>
      </c>
      <c r="G461" s="31">
        <v>0</v>
      </c>
      <c r="H461" s="31">
        <v>144</v>
      </c>
    </row>
    <row r="462" spans="1:8" x14ac:dyDescent="0.2">
      <c r="A462" t="s">
        <v>1878</v>
      </c>
      <c r="B462" t="s">
        <v>359</v>
      </c>
      <c r="C462" t="s">
        <v>1639</v>
      </c>
      <c r="D462" t="s">
        <v>1773</v>
      </c>
      <c r="E462" s="31">
        <v>1</v>
      </c>
      <c r="F462" s="31">
        <v>0</v>
      </c>
      <c r="G462" s="31">
        <v>0</v>
      </c>
      <c r="H462" s="31">
        <v>1</v>
      </c>
    </row>
    <row r="463" spans="1:8" x14ac:dyDescent="0.2">
      <c r="A463" t="s">
        <v>1879</v>
      </c>
      <c r="B463" t="s">
        <v>1874</v>
      </c>
      <c r="C463" t="s">
        <v>1639</v>
      </c>
      <c r="D463" t="s">
        <v>1773</v>
      </c>
      <c r="E463" s="31">
        <v>102</v>
      </c>
      <c r="F463" s="31">
        <v>0</v>
      </c>
      <c r="G463" s="31">
        <v>0</v>
      </c>
      <c r="H463" s="31">
        <v>102</v>
      </c>
    </row>
    <row r="464" spans="1:8" x14ac:dyDescent="0.2">
      <c r="A464" t="s">
        <v>1925</v>
      </c>
      <c r="B464" t="s">
        <v>1925</v>
      </c>
      <c r="C464" t="s">
        <v>1925</v>
      </c>
      <c r="D464" t="s">
        <v>1925</v>
      </c>
      <c r="E464" s="31"/>
      <c r="F464" s="31"/>
      <c r="G464" s="31"/>
      <c r="H464" s="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46"/>
  <sheetViews>
    <sheetView zoomScale="85" zoomScaleNormal="85" workbookViewId="0">
      <pane ySplit="2" topLeftCell="A3" activePane="bottomLeft" state="frozen"/>
      <selection pane="bottomLeft" activeCell="C15" sqref="C15"/>
    </sheetView>
  </sheetViews>
  <sheetFormatPr defaultRowHeight="12.75" x14ac:dyDescent="0.2"/>
  <cols>
    <col min="1" max="1" width="12" customWidth="1"/>
    <col min="2" max="2" width="13" bestFit="1" customWidth="1"/>
    <col min="3" max="3" width="7.28515625" customWidth="1"/>
    <col min="4" max="4" width="18.28515625" customWidth="1"/>
    <col min="5" max="5" width="42" bestFit="1" customWidth="1"/>
    <col min="6" max="6" width="22.7109375" customWidth="1"/>
    <col min="7" max="7" width="13" customWidth="1"/>
    <col min="8" max="8" width="14.140625" customWidth="1"/>
    <col min="9" max="9" width="18" bestFit="1" customWidth="1"/>
    <col min="10" max="10" width="10.28515625" customWidth="1"/>
    <col min="11" max="11" width="12.7109375" customWidth="1"/>
    <col min="12" max="12" width="23.7109375" bestFit="1" customWidth="1"/>
    <col min="15" max="15" width="12.7109375" bestFit="1" customWidth="1"/>
  </cols>
  <sheetData>
    <row r="1" spans="1:15" x14ac:dyDescent="0.2">
      <c r="H1" s="37">
        <f>SUBTOTAL(9,H3:H4)</f>
        <v>42</v>
      </c>
      <c r="I1" s="34"/>
      <c r="J1" s="34"/>
      <c r="K1" s="37"/>
      <c r="M1" t="s">
        <v>1935</v>
      </c>
      <c r="N1" t="s">
        <v>1935</v>
      </c>
      <c r="O1" t="s">
        <v>1935</v>
      </c>
    </row>
    <row r="2" spans="1:15" x14ac:dyDescent="0.2">
      <c r="A2" s="1" t="s">
        <v>920</v>
      </c>
      <c r="B2" s="1" t="s">
        <v>921</v>
      </c>
      <c r="C2" s="1" t="s">
        <v>922</v>
      </c>
      <c r="D2" s="3" t="s">
        <v>923</v>
      </c>
      <c r="E2" s="1" t="s">
        <v>924</v>
      </c>
      <c r="F2" s="3" t="s">
        <v>925</v>
      </c>
      <c r="G2" s="1" t="s">
        <v>1702</v>
      </c>
      <c r="H2" s="1" t="s">
        <v>926</v>
      </c>
      <c r="I2" s="1" t="s">
        <v>927</v>
      </c>
      <c r="J2" s="1" t="s">
        <v>928</v>
      </c>
      <c r="K2" s="1" t="s">
        <v>1739</v>
      </c>
      <c r="L2" s="4" t="s">
        <v>929</v>
      </c>
      <c r="M2" s="33" t="s">
        <v>1753</v>
      </c>
      <c r="N2" s="35" t="s">
        <v>1769</v>
      </c>
      <c r="O2" s="35" t="s">
        <v>1772</v>
      </c>
    </row>
    <row r="3" spans="1:15" x14ac:dyDescent="0.2">
      <c r="A3" s="2" t="s">
        <v>0</v>
      </c>
      <c r="B3" t="s">
        <v>52</v>
      </c>
      <c r="C3" t="s">
        <v>1639</v>
      </c>
      <c r="D3" t="s">
        <v>1641</v>
      </c>
      <c r="E3" t="s">
        <v>51</v>
      </c>
      <c r="F3" t="s">
        <v>1779</v>
      </c>
      <c r="G3" t="s">
        <v>1703</v>
      </c>
      <c r="H3" s="36">
        <v>14</v>
      </c>
      <c r="I3" s="36">
        <v>0</v>
      </c>
      <c r="J3" s="36">
        <v>0</v>
      </c>
      <c r="K3" s="36">
        <v>14</v>
      </c>
      <c r="L3" t="str">
        <f>VLOOKUP($B3,Data!$A$1:$C$10000,2,0)</f>
        <v>PACIFIC ISLANDS</v>
      </c>
      <c r="M3" s="29" t="str">
        <f>RIGHT(Table1[[#This Row],[Batch]],3)</f>
        <v>028</v>
      </c>
      <c r="N3" s="29" t="str">
        <f>LEFT(Table1[[#This Row],[Batch]],7)</f>
        <v>PI-2017</v>
      </c>
      <c r="O3" s="29" t="str">
        <f>VLOOKUP(D3,Sheet3!A:B,2,0)</f>
        <v>Lot 17</v>
      </c>
    </row>
    <row r="4" spans="1:15" x14ac:dyDescent="0.2">
      <c r="A4" s="2" t="s">
        <v>0</v>
      </c>
      <c r="B4" t="s">
        <v>52</v>
      </c>
      <c r="C4" t="s">
        <v>1639</v>
      </c>
      <c r="D4" s="38" t="s">
        <v>4</v>
      </c>
      <c r="E4" t="s">
        <v>51</v>
      </c>
      <c r="F4" t="s">
        <v>1779</v>
      </c>
      <c r="G4" t="s">
        <v>1853</v>
      </c>
      <c r="H4" s="36">
        <v>28</v>
      </c>
      <c r="I4" s="36">
        <v>0</v>
      </c>
      <c r="J4" s="36">
        <v>0</v>
      </c>
      <c r="K4" s="36">
        <v>28</v>
      </c>
      <c r="L4" t="str">
        <f>VLOOKUP($B4,Data!$A$1:$C$10000,2,0)</f>
        <v>PACIFIC ISLANDS</v>
      </c>
      <c r="M4" s="29" t="str">
        <f>RIGHT(Table1[[#This Row],[Batch]],3)</f>
        <v>018</v>
      </c>
      <c r="N4" s="29" t="str">
        <f>LEFT(Table1[[#This Row],[Batch]],7)</f>
        <v>PI-2018</v>
      </c>
      <c r="O4" s="29" t="str">
        <f>VLOOKUP(D4,Sheet3!A:B,2,0)</f>
        <v>Lot 41</v>
      </c>
    </row>
    <row r="5" spans="1:15" x14ac:dyDescent="0.2">
      <c r="A5" s="2"/>
      <c r="H5" s="36"/>
      <c r="I5" s="36"/>
      <c r="J5" s="36"/>
      <c r="K5" s="36"/>
      <c r="M5" s="29"/>
      <c r="N5" s="29"/>
      <c r="O5" s="29"/>
    </row>
    <row r="6" spans="1:15" x14ac:dyDescent="0.2">
      <c r="A6" s="2"/>
      <c r="H6" s="36"/>
      <c r="I6" s="36"/>
      <c r="J6" s="36"/>
      <c r="K6" s="36"/>
      <c r="M6" s="29"/>
      <c r="N6" s="29"/>
      <c r="O6" s="29"/>
    </row>
    <row r="7" spans="1:15" x14ac:dyDescent="0.2">
      <c r="A7" s="2"/>
      <c r="H7" s="36"/>
      <c r="I7" s="36"/>
      <c r="J7" s="36"/>
      <c r="K7" s="36"/>
      <c r="M7" s="29"/>
      <c r="N7" s="29"/>
      <c r="O7" s="29"/>
    </row>
    <row r="8" spans="1:15" x14ac:dyDescent="0.2">
      <c r="A8" s="2"/>
      <c r="H8" s="36"/>
      <c r="I8" s="36"/>
      <c r="J8" s="36"/>
      <c r="K8" s="36"/>
      <c r="M8" s="29"/>
      <c r="N8" s="29"/>
      <c r="O8" s="29"/>
    </row>
    <row r="9" spans="1:15" x14ac:dyDescent="0.2">
      <c r="A9" s="2"/>
      <c r="H9" s="36"/>
      <c r="I9" s="36"/>
      <c r="J9" s="36"/>
      <c r="K9" s="36"/>
      <c r="M9" s="29"/>
      <c r="N9" s="29"/>
      <c r="O9" s="29"/>
    </row>
    <row r="10" spans="1:15" x14ac:dyDescent="0.2">
      <c r="A10" s="2"/>
      <c r="H10" s="36"/>
      <c r="I10" s="36"/>
      <c r="J10" s="36"/>
      <c r="K10" s="36"/>
      <c r="M10" s="29"/>
      <c r="N10" s="29"/>
      <c r="O10" s="29"/>
    </row>
    <row r="11" spans="1:15" x14ac:dyDescent="0.2">
      <c r="A11" s="2"/>
      <c r="H11" s="36"/>
      <c r="I11" s="36"/>
      <c r="J11" s="36"/>
      <c r="K11" s="36"/>
      <c r="M11" s="29"/>
      <c r="N11" s="29"/>
      <c r="O11" s="29"/>
    </row>
    <row r="12" spans="1:15" x14ac:dyDescent="0.2">
      <c r="A12" s="2"/>
      <c r="H12" s="29"/>
      <c r="I12" s="36"/>
      <c r="J12" s="36"/>
      <c r="K12" s="29"/>
      <c r="M12" s="29"/>
      <c r="N12" s="29"/>
      <c r="O12" s="29"/>
    </row>
    <row r="13" spans="1:15" x14ac:dyDescent="0.2">
      <c r="A13" s="2"/>
      <c r="H13" s="36"/>
      <c r="I13" s="36"/>
      <c r="J13" s="36"/>
      <c r="K13" s="36"/>
      <c r="M13" s="29"/>
      <c r="N13" s="29"/>
      <c r="O13" s="29"/>
    </row>
    <row r="14" spans="1:15" x14ac:dyDescent="0.2">
      <c r="A14" s="2"/>
      <c r="H14" s="36"/>
      <c r="I14" s="36"/>
      <c r="J14" s="36"/>
      <c r="K14" s="36"/>
      <c r="M14" s="29"/>
      <c r="N14" s="29"/>
      <c r="O14" s="29"/>
    </row>
    <row r="15" spans="1:15" x14ac:dyDescent="0.2">
      <c r="A15" s="2"/>
      <c r="H15" s="36"/>
      <c r="I15" s="36"/>
      <c r="J15" s="36"/>
      <c r="K15" s="36"/>
      <c r="M15" s="29"/>
      <c r="N15" s="29"/>
      <c r="O15" s="29"/>
    </row>
    <row r="16" spans="1:15" x14ac:dyDescent="0.2">
      <c r="A16" s="2"/>
      <c r="H16" s="36"/>
      <c r="I16" s="36"/>
      <c r="J16" s="36"/>
      <c r="K16" s="36"/>
      <c r="M16" s="29"/>
      <c r="N16" s="29"/>
      <c r="O16" s="29"/>
    </row>
    <row r="18" spans="1:15" x14ac:dyDescent="0.2">
      <c r="A18" s="2"/>
      <c r="H18" s="36"/>
      <c r="I18" s="36"/>
      <c r="J18" s="36"/>
      <c r="K18" s="36"/>
      <c r="M18" s="29"/>
      <c r="N18" s="29"/>
      <c r="O18" s="29"/>
    </row>
    <row r="19" spans="1:15" x14ac:dyDescent="0.2">
      <c r="A19" s="2"/>
      <c r="H19" s="36"/>
      <c r="I19" s="36"/>
      <c r="J19" s="36"/>
      <c r="K19" s="36"/>
      <c r="M19" s="29"/>
      <c r="N19" s="29"/>
      <c r="O19" s="29"/>
    </row>
    <row r="20" spans="1:15" x14ac:dyDescent="0.2">
      <c r="A20" s="2"/>
      <c r="H20" s="36"/>
      <c r="I20" s="36"/>
      <c r="J20" s="36"/>
      <c r="K20" s="36"/>
      <c r="M20" s="29"/>
      <c r="N20" s="29"/>
      <c r="O20" s="29"/>
    </row>
    <row r="21" spans="1:15" x14ac:dyDescent="0.2">
      <c r="A21" s="2"/>
      <c r="H21" s="36"/>
      <c r="I21" s="36"/>
      <c r="J21" s="36"/>
      <c r="K21" s="36"/>
      <c r="M21" s="29"/>
      <c r="N21" s="29"/>
      <c r="O21" s="29"/>
    </row>
    <row r="22" spans="1:15" x14ac:dyDescent="0.2">
      <c r="A22" s="2"/>
      <c r="H22" s="36"/>
      <c r="I22" s="36"/>
      <c r="J22" s="36"/>
      <c r="K22" s="36"/>
      <c r="M22" s="29"/>
      <c r="N22" s="29"/>
      <c r="O22" s="29"/>
    </row>
    <row r="23" spans="1:15" x14ac:dyDescent="0.2">
      <c r="A23" s="2"/>
      <c r="H23" s="36"/>
      <c r="I23" s="36"/>
      <c r="J23" s="36"/>
      <c r="K23" s="36"/>
      <c r="M23" s="29"/>
      <c r="N23" s="29"/>
      <c r="O23" s="29"/>
    </row>
    <row r="24" spans="1:15" x14ac:dyDescent="0.2">
      <c r="A24" s="2"/>
      <c r="H24" s="36"/>
      <c r="I24" s="36"/>
      <c r="J24" s="36"/>
      <c r="K24" s="36"/>
      <c r="M24" s="29"/>
      <c r="N24" s="29"/>
      <c r="O24" s="29"/>
    </row>
    <row r="25" spans="1:15" x14ac:dyDescent="0.2">
      <c r="A25" s="2"/>
      <c r="H25" s="36"/>
      <c r="I25" s="36"/>
      <c r="J25" s="36"/>
      <c r="K25" s="36"/>
      <c r="M25" s="29"/>
      <c r="N25" s="29"/>
      <c r="O25" s="29"/>
    </row>
    <row r="26" spans="1:15" x14ac:dyDescent="0.2">
      <c r="A26" s="2"/>
      <c r="H26" s="36"/>
      <c r="I26" s="36"/>
      <c r="J26" s="36"/>
      <c r="K26" s="36"/>
      <c r="M26" s="29"/>
      <c r="N26" s="29"/>
      <c r="O26" s="29"/>
    </row>
    <row r="27" spans="1:15" x14ac:dyDescent="0.2">
      <c r="A27" s="2"/>
      <c r="H27" s="36"/>
      <c r="I27" s="36"/>
      <c r="J27" s="36"/>
      <c r="K27" s="36"/>
      <c r="M27" s="29"/>
      <c r="N27" s="29"/>
      <c r="O27" s="29"/>
    </row>
    <row r="28" spans="1:15" x14ac:dyDescent="0.2">
      <c r="A28" s="2"/>
      <c r="H28" s="36"/>
      <c r="I28" s="36"/>
      <c r="J28" s="36"/>
      <c r="K28" s="36"/>
      <c r="M28" s="29"/>
      <c r="N28" s="29"/>
      <c r="O28" s="29"/>
    </row>
    <row r="29" spans="1:15" x14ac:dyDescent="0.2">
      <c r="A29" s="2"/>
      <c r="H29" s="36"/>
      <c r="I29" s="36"/>
      <c r="J29" s="36"/>
      <c r="K29" s="36"/>
      <c r="M29" s="29"/>
      <c r="N29" s="29"/>
      <c r="O29" s="29"/>
    </row>
    <row r="30" spans="1:15" x14ac:dyDescent="0.2">
      <c r="A30" s="2"/>
      <c r="H30" s="36"/>
      <c r="I30" s="36"/>
      <c r="J30" s="36"/>
      <c r="K30" s="36"/>
      <c r="M30" s="29"/>
      <c r="N30" s="29"/>
      <c r="O30" s="29"/>
    </row>
    <row r="31" spans="1:15" x14ac:dyDescent="0.2">
      <c r="A31" s="2"/>
      <c r="H31" s="29"/>
      <c r="I31" s="36"/>
      <c r="J31" s="36"/>
      <c r="K31" s="29"/>
      <c r="M31" s="29"/>
      <c r="N31" s="29"/>
      <c r="O31" s="29"/>
    </row>
    <row r="32" spans="1:15" x14ac:dyDescent="0.2">
      <c r="A32" s="2"/>
      <c r="H32" s="36"/>
      <c r="I32" s="36"/>
      <c r="J32" s="36"/>
      <c r="K32" s="36"/>
      <c r="M32" s="29"/>
      <c r="N32" s="29"/>
      <c r="O32" s="29"/>
    </row>
    <row r="33" spans="1:15" x14ac:dyDescent="0.2">
      <c r="A33" s="2"/>
      <c r="H33" s="36"/>
      <c r="I33" s="36"/>
      <c r="J33" s="36"/>
      <c r="K33" s="36"/>
      <c r="M33" s="29"/>
      <c r="N33" s="29"/>
      <c r="O33" s="29"/>
    </row>
    <row r="34" spans="1:15" x14ac:dyDescent="0.2">
      <c r="A34" s="2"/>
      <c r="H34" s="36"/>
      <c r="I34" s="36"/>
      <c r="J34" s="36"/>
      <c r="K34" s="36"/>
      <c r="M34" s="29"/>
      <c r="N34" s="29"/>
      <c r="O34" s="29"/>
    </row>
    <row r="35" spans="1:15" x14ac:dyDescent="0.2">
      <c r="A35" s="2"/>
      <c r="H35" s="29"/>
      <c r="I35" s="36"/>
      <c r="J35" s="36"/>
      <c r="K35" s="29"/>
      <c r="M35" s="29"/>
      <c r="N35" s="29"/>
      <c r="O35" s="29"/>
    </row>
    <row r="36" spans="1:15" x14ac:dyDescent="0.2">
      <c r="A36" s="2"/>
      <c r="H36" s="36"/>
      <c r="I36" s="36"/>
      <c r="J36" s="29"/>
      <c r="K36" s="29"/>
      <c r="M36" s="29"/>
      <c r="N36" s="29"/>
      <c r="O36" s="29"/>
    </row>
    <row r="37" spans="1:15" x14ac:dyDescent="0.2">
      <c r="A37" s="2"/>
      <c r="H37" s="36"/>
      <c r="I37" s="36"/>
      <c r="J37" s="36"/>
      <c r="K37" s="36"/>
      <c r="M37" s="29"/>
      <c r="N37" s="29"/>
      <c r="O37" s="29"/>
    </row>
    <row r="38" spans="1:15" x14ac:dyDescent="0.2">
      <c r="A38" s="2"/>
      <c r="H38" s="29"/>
      <c r="I38" s="36"/>
      <c r="J38" s="36"/>
      <c r="K38" s="29"/>
      <c r="M38" s="29"/>
      <c r="N38" s="29"/>
      <c r="O38" s="29"/>
    </row>
    <row r="39" spans="1:15" x14ac:dyDescent="0.2">
      <c r="A39" s="2"/>
      <c r="H39" s="29"/>
      <c r="I39" s="36"/>
      <c r="J39" s="36"/>
      <c r="K39" s="29"/>
      <c r="M39" s="29"/>
      <c r="N39" s="29"/>
      <c r="O39" s="29"/>
    </row>
    <row r="40" spans="1:15" x14ac:dyDescent="0.2">
      <c r="A40" s="2"/>
      <c r="H40" s="36"/>
      <c r="I40" s="36"/>
      <c r="J40" s="36"/>
      <c r="K40" s="36"/>
      <c r="M40" s="29"/>
      <c r="N40" s="29"/>
      <c r="O40" s="29"/>
    </row>
    <row r="41" spans="1:15" x14ac:dyDescent="0.2">
      <c r="A41" s="2"/>
      <c r="H41" s="36"/>
      <c r="I41" s="36"/>
      <c r="J41" s="36"/>
      <c r="K41" s="36"/>
      <c r="M41" s="29"/>
      <c r="N41" s="29"/>
      <c r="O41" s="29"/>
    </row>
    <row r="42" spans="1:15" x14ac:dyDescent="0.2">
      <c r="A42" s="2"/>
      <c r="H42" s="36"/>
      <c r="I42" s="36"/>
      <c r="J42" s="36"/>
      <c r="K42" s="36"/>
      <c r="M42" s="29"/>
      <c r="N42" s="29"/>
      <c r="O42" s="29"/>
    </row>
    <row r="43" spans="1:15" x14ac:dyDescent="0.2">
      <c r="A43" s="2"/>
      <c r="H43" s="36"/>
      <c r="I43" s="36"/>
      <c r="J43" s="36"/>
      <c r="K43" s="36"/>
      <c r="M43" s="29"/>
      <c r="N43" s="29"/>
      <c r="O43" s="29"/>
    </row>
    <row r="44" spans="1:15" x14ac:dyDescent="0.2">
      <c r="A44" s="2"/>
      <c r="H44" s="36"/>
      <c r="I44" s="36"/>
      <c r="J44" s="36"/>
      <c r="K44" s="36"/>
      <c r="M44" s="29"/>
      <c r="N44" s="29"/>
      <c r="O44" s="29"/>
    </row>
    <row r="45" spans="1:15" x14ac:dyDescent="0.2">
      <c r="A45" s="2"/>
      <c r="H45" s="36"/>
      <c r="I45" s="36"/>
      <c r="J45" s="36"/>
      <c r="K45" s="36"/>
      <c r="M45" s="29"/>
      <c r="N45" s="29"/>
      <c r="O45" s="29"/>
    </row>
    <row r="46" spans="1:15" x14ac:dyDescent="0.2">
      <c r="A46" s="2"/>
      <c r="H46" s="36"/>
      <c r="I46" s="36"/>
      <c r="J46" s="36"/>
      <c r="K46" s="36"/>
      <c r="M46" s="29"/>
      <c r="N46" s="29"/>
      <c r="O46" s="29"/>
    </row>
  </sheetData>
  <phoneticPr fontId="0" type="noConversion"/>
  <pageMargins left="0.75" right="0.75" top="1" bottom="1" header="0.5" footer="0.5"/>
  <pageSetup orientation="portrait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11"/>
  <sheetViews>
    <sheetView tabSelected="1" workbookViewId="0">
      <selection activeCell="D9" sqref="D9"/>
    </sheetView>
  </sheetViews>
  <sheetFormatPr defaultRowHeight="12.75" x14ac:dyDescent="0.2"/>
  <cols>
    <col min="1" max="1" width="14.85546875" bestFit="1" customWidth="1"/>
    <col min="2" max="2" width="10.42578125" bestFit="1" customWidth="1"/>
  </cols>
  <sheetData>
    <row r="1" spans="1:2" ht="25.5" x14ac:dyDescent="0.2">
      <c r="A1" s="3" t="s">
        <v>923</v>
      </c>
      <c r="B1" t="s">
        <v>1772</v>
      </c>
    </row>
    <row r="2" spans="1:2" x14ac:dyDescent="0.2">
      <c r="A2" t="s">
        <v>1640</v>
      </c>
      <c r="B2" t="s">
        <v>0</v>
      </c>
    </row>
    <row r="3" spans="1:2" x14ac:dyDescent="0.2">
      <c r="A3" t="s">
        <v>1641</v>
      </c>
      <c r="B3" t="s">
        <v>1773</v>
      </c>
    </row>
    <row r="4" spans="1:2" x14ac:dyDescent="0.2">
      <c r="A4" t="s">
        <v>2</v>
      </c>
      <c r="B4" t="s">
        <v>1773</v>
      </c>
    </row>
    <row r="5" spans="1:2" x14ac:dyDescent="0.2">
      <c r="A5" t="s">
        <v>12</v>
      </c>
      <c r="B5" t="s">
        <v>0</v>
      </c>
    </row>
    <row r="6" spans="1:2" x14ac:dyDescent="0.2">
      <c r="A6" t="s">
        <v>1757</v>
      </c>
      <c r="B6" t="s">
        <v>1774</v>
      </c>
    </row>
    <row r="7" spans="1:2" x14ac:dyDescent="0.2">
      <c r="A7" t="s">
        <v>4</v>
      </c>
      <c r="B7" t="s">
        <v>1774</v>
      </c>
    </row>
    <row r="8" spans="1:2" x14ac:dyDescent="0.2">
      <c r="A8" t="s">
        <v>8</v>
      </c>
      <c r="B8" t="s">
        <v>1774</v>
      </c>
    </row>
    <row r="9" spans="1:2" x14ac:dyDescent="0.2">
      <c r="A9" t="s">
        <v>1840</v>
      </c>
      <c r="B9" t="s">
        <v>0</v>
      </c>
    </row>
    <row r="10" spans="1:2" x14ac:dyDescent="0.2">
      <c r="A10" t="s">
        <v>1754</v>
      </c>
      <c r="B10" t="s">
        <v>1773</v>
      </c>
    </row>
    <row r="11" spans="1:2" x14ac:dyDescent="0.2">
      <c r="A11" t="s">
        <v>1883</v>
      </c>
      <c r="B11" t="s">
        <v>0</v>
      </c>
    </row>
  </sheetData>
  <sortState ref="A2:B678">
    <sortCondition ref="A2:A6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</vt:lpstr>
      <vt:lpstr>Data</vt:lpstr>
      <vt:lpstr>Sheet4</vt:lpstr>
      <vt:lpstr>Sheet2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LENOVO</cp:lastModifiedBy>
  <cp:revision>1</cp:revision>
  <dcterms:created xsi:type="dcterms:W3CDTF">2017-10-09T01:40:40Z</dcterms:created>
  <dcterms:modified xsi:type="dcterms:W3CDTF">2018-08-06T11:10:48Z</dcterms:modified>
  <cp:category/>
</cp:coreProperties>
</file>